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94bfa3866843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数据总览" sheetId="1" r:id="R33b4772482ed4315"/>
    <x:sheet xmlns:r="http://schemas.openxmlformats.org/officeDocument/2006/relationships" name="01_使用说明" sheetId="2" r:id="R64ed3b578abc4e62"/>
    <x:sheet xmlns:r="http://schemas.openxmlformats.org/officeDocument/2006/relationships" name="02_核心指标" sheetId="3" r:id="R938141bbc9c543d7"/>
    <x:sheet xmlns:r="http://schemas.openxmlformats.org/officeDocument/2006/relationships" name="03_产品应用" sheetId="4" r:id="R71bc03441eb4494d"/>
    <x:sheet xmlns:r="http://schemas.openxmlformats.org/officeDocument/2006/relationships" name="04_内销趋势" sheetId="5" r:id="R8a388836abed4afe"/>
    <x:sheet xmlns:r="http://schemas.openxmlformats.org/officeDocument/2006/relationships" name="05_线上趋势" sheetId="6" r:id="R408ef2c299e846eb"/>
    <x:sheet xmlns:r="http://schemas.openxmlformats.org/officeDocument/2006/relationships" name="06_阶段分析" sheetId="7" r:id="R0ea6ea608b364221"/>
    <x:sheet xmlns:r="http://schemas.openxmlformats.org/officeDocument/2006/relationships" name="07_字段说明" sheetId="8" r:id="Ra7eddcea00694125"/>
    <x:sheet xmlns:r="http://schemas.openxmlformats.org/officeDocument/2006/relationships" name="08_Agent提示词" sheetId="9" r:id="Rf25fb7249eef49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#,##0.00"/>
    <x:numFmt numFmtId="202" formatCode="0.00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58793A"/>
      <x:name val="Carlito"/>
    </x:font>
    <x:font>
      <x:sz val="10"/>
      <x:color rgb="FF2F3328"/>
      <x:name val="Carlito"/>
    </x:font>
    <x:font>
      <x:b/>
      <x:sz val="11"/>
      <x:color rgb="FF5B3A29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58793A"/>
      </x:patternFill>
    </x:fill>
    <x:fill>
      <x:patternFill patternType="solid">
        <x:fgColor rgb="FFEEF2E4"/>
      </x:patternFill>
    </x:fill>
    <x:fill>
      <x:patternFill patternType="solid">
        <x:fgColor rgb="FFFFF3D7"/>
      </x:patternFill>
    </x:fill>
  </x:fills>
  <x:borders count="10">
    <x:border/>
    <x:border>
      <x:bottom style="thin">
        <x:color rgb="FF58793A"/>
      </x:bottom>
    </x:border>
    <x:border>
      <x:left style="hair">
        <x:color rgb="FFD9D3C3"/>
      </x:left>
      <x:top style="hair">
        <x:color rgb="FFD9D3C3"/>
      </x:top>
    </x:border>
    <x:border>
      <x:top style="hair">
        <x:color rgb="FFD9D3C3"/>
      </x:top>
    </x:border>
    <x:border>
      <x:right style="hair">
        <x:color rgb="FFD9D3C3"/>
      </x:right>
      <x:top style="hair">
        <x:color rgb="FFD9D3C3"/>
      </x:top>
    </x:border>
    <x:border>
      <x:left style="hair">
        <x:color rgb="FFD9D3C3"/>
      </x:left>
    </x:border>
    <x:border>
      <x:right style="hair">
        <x:color rgb="FFD9D3C3"/>
      </x:right>
    </x:border>
    <x:border>
      <x:left style="hair">
        <x:color rgb="FFD9D3C3"/>
      </x:left>
      <x:bottom style="hair">
        <x:color rgb="FFD9D3C3"/>
      </x:bottom>
    </x:border>
    <x:border>
      <x:bottom style="hair">
        <x:color rgb="FFD9D3C3"/>
      </x:bottom>
    </x:border>
    <x:border>
      <x:right style="hair">
        <x:color rgb="FFD9D3C3"/>
      </x:right>
      <x:bottom style="hair">
        <x:color rgb="FFD9D3C3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2" xfId="0" applyNumberFormat="1" applyFont="1" applyFill="1" applyBorder="1"/>
    <x:xf numFmtId="0" fontId="3" fillId="0" borderId="3" xfId="0" applyNumberFormat="1" applyFont="1" applyFill="1" applyBorder="1"/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2" xfId="0" applyNumberFormat="1" applyFont="1" applyFill="1" applyBorder="1" applyAlignment="1">
      <x:alignment wrapText="1"/>
    </x:xf>
    <x:xf numFmtId="0" fontId="3" fillId="0" borderId="3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7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200" fontId="3" fillId="0" borderId="3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200" fontId="3" fillId="0" borderId="8" xfId="0" applyNumberFormat="1" applyFont="1" applyFill="1" applyBorder="1" applyAlignment="1">
      <x:alignment vertical="center" wrapText="1"/>
    </x:xf>
    <x:xf numFmtId="201" fontId="3" fillId="0" borderId="3" xfId="0" applyNumberFormat="1" applyFont="1" applyFill="1" applyBorder="1" applyAlignment="1">
      <x:alignment vertical="center" wrapText="1"/>
    </x:xf>
    <x:xf numFmtId="201" fontId="3" fillId="0" borderId="0" xfId="0" applyNumberFormat="1" applyFont="1" applyFill="1" applyBorder="1" applyAlignment="1">
      <x:alignment vertical="center" wrapText="1"/>
    </x:xf>
    <x:xf numFmtId="201" fontId="3" fillId="0" borderId="8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wrapText="1"/>
    </x:xf>
    <x:xf numFmtId="202" fontId="3" fillId="0" borderId="3" xfId="0" applyNumberFormat="1" applyFont="1" applyFill="1" applyBorder="1" applyAlignment="1">
      <x:alignment vertical="center" wrapText="1"/>
    </x:xf>
    <x:xf numFmtId="202" fontId="3" fillId="0" borderId="0" xfId="0" applyNumberFormat="1" applyFont="1" applyFill="1" applyBorder="1" applyAlignment="1">
      <x:alignment vertical="center" wrapText="1"/>
    </x:xf>
    <x:xf numFmtId="202" fontId="3" fillId="0" borderId="8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9ceb5ba66b4b1b" /><Relationship Type="http://schemas.openxmlformats.org/officeDocument/2006/relationships/theme" Target="/xl/theme/theme1.xml" Id="Rcbed90bb49024980" /><Relationship Type="http://schemas.openxmlformats.org/officeDocument/2006/relationships/sharedStrings" Target="/xl/sharedStrings.xml" Id="R327d1d113809451e" /><Relationship Type="http://schemas.openxmlformats.org/officeDocument/2006/relationships/worksheet" Target="/xl/worksheets/sheet1.xml" Id="R33b4772482ed4315" /><Relationship Type="http://schemas.openxmlformats.org/officeDocument/2006/relationships/worksheet" Target="/xl/worksheets/sheet2.xml" Id="R64ed3b578abc4e62" /><Relationship Type="http://schemas.openxmlformats.org/officeDocument/2006/relationships/worksheet" Target="/xl/worksheets/sheet3.xml" Id="R938141bbc9c543d7" /><Relationship Type="http://schemas.openxmlformats.org/officeDocument/2006/relationships/worksheet" Target="/xl/worksheets/sheet4.xml" Id="R71bc03441eb4494d" /><Relationship Type="http://schemas.openxmlformats.org/officeDocument/2006/relationships/worksheet" Target="/xl/worksheets/sheet5.xml" Id="R8a388836abed4afe" /><Relationship Type="http://schemas.openxmlformats.org/officeDocument/2006/relationships/worksheet" Target="/xl/worksheets/sheet6.xml" Id="R408ef2c299e846eb" /><Relationship Type="http://schemas.openxmlformats.org/officeDocument/2006/relationships/worksheet" Target="/xl/worksheets/sheet7.xml" Id="R0ea6ea608b364221" /><Relationship Type="http://schemas.openxmlformats.org/officeDocument/2006/relationships/worksheet" Target="/xl/worksheets/sheet8.xml" Id="Ra7eddcea00694125" /><Relationship Type="http://schemas.openxmlformats.org/officeDocument/2006/relationships/worksheet" Target="/xl/worksheets/sheet9.xml" Id="Rf25fb7249eef4927" /><Relationship Type="http://schemas.microsoft.com/office/2017/10/relationships/person" Target="/xl/persons/person.xml" Id="Rd829f32616574259" /></Relationships>
</file>

<file path=xl/persons/person.xml><?xml version="1.0" encoding="utf-8"?>
<xltc:personList xmlns:xltc="http://schemas.microsoft.com/office/spreadsheetml/2018/threadedcomments">
  <xltc:person displayName="小雪" id="{74F7B5CB-E15F-49F5-AC24-8D2CADAFFD98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0" hidden="0" customWidth="1"/>
    <x:col min="3" max="3" width="17" hidden="0" customWidth="1"/>
    <x:col min="4" max="4" width="15" hidden="0" customWidth="1"/>
    <x:col min="5" max="5" width="38" hidden="0" customWidth="1"/>
    <x:col min="6" max="6" width="30" hidden="0" customWidth="1"/>
    <x:col min="7" max="7" width="18" hidden="0" customWidth="1"/>
    <x:col min="8" max="8" width="32" hidden="0" customWidth="1"/>
  </x:cols>
  <x:sheetData>
    <x:row r="1" ht="28" customHeight="1">
      <x:c r="A1" s="5" t="str">
        <x:v>叶片板块｜2010—2024 中国茶消费长期变化与新表达
可直接供前端读取的数据导航；取消独立“2024产业快照”，改为单一连续瀑布流</x:v>
      </x:c>
      <x:c r="B1" s="5" t="str">
        <x:v>叶片板块｜2010—2024 中国茶消费长期变化与新表达
可直接供前端读取的数据导航；取消独立“2024产业快照”，改为单一连续瀑布流</x:v>
      </x:c>
      <x:c r="C1" s="5" t="str">
        <x:v>叶片板块｜2010—2024 中国茶消费长期变化与新表达
可直接供前端读取的数据导航；取消独立“2024产业快照”，改为单一连续瀑布流</x:v>
      </x:c>
      <x:c r="D1" s="5" t="str">
        <x:v>叶片板块｜2010—2024 中国茶消费长期变化与新表达
可直接供前端读取的数据导航；取消独立“2024产业快照”，改为单一连续瀑布流</x:v>
      </x:c>
      <x:c r="E1" s="5" t="str">
        <x:v>叶片板块｜2010—2024 中国茶消费长期变化与新表达
可直接供前端读取的数据导航；取消独立“2024产业快照”，改为单一连续瀑布流</x:v>
      </x:c>
      <x:c r="F1" s="5" t="str">
        <x:v>叶片板块｜2010—2024 中国茶消费长期变化与新表达
可直接供前端读取的数据导航；取消独立“2024产业快照”，改为单一连续瀑布流</x:v>
      </x:c>
      <x:c r="G1" s="5" t="str">
        <x:v>叶片板块｜2010—2024 中国茶消费长期变化与新表达
可直接供前端读取的数据导航；取消独立“2024产业快照”，改为单一连续瀑布流</x:v>
      </x:c>
      <x:c r="H1" s="5" t="str">
        <x:v>叶片板块｜2010—2024 中国茶消费长期变化与新表达
可直接供前端读取的数据导航；取消独立“2024产业快照”，改为单一连续瀑布流</x:v>
      </x:c>
    </x:row>
    <x:row r="2" ht="28" customHeight="1">
      <x:c r="A2" s="5" t="str">
        <x:v>叶片板块｜2010—2024 中国茶消费长期变化与新表达
可直接供前端读取的数据导航；取消独立“2024产业快照”，改为单一连续瀑布流</x:v>
      </x:c>
      <x:c r="B2" s="5" t="str">
        <x:v>叶片板块｜2010—2024 中国茶消费长期变化与新表达
可直接供前端读取的数据导航；取消独立“2024产业快照”，改为单一连续瀑布流</x:v>
      </x:c>
      <x:c r="C2" s="5" t="str">
        <x:v>叶片板块｜2010—2024 中国茶消费长期变化与新表达
可直接供前端读取的数据导航；取消独立“2024产业快照”，改为单一连续瀑布流</x:v>
      </x:c>
      <x:c r="D2" s="5" t="str">
        <x:v>叶片板块｜2010—2024 中国茶消费长期变化与新表达
可直接供前端读取的数据导航；取消独立“2024产业快照”，改为单一连续瀑布流</x:v>
      </x:c>
      <x:c r="E2" s="5" t="str">
        <x:v>叶片板块｜2010—2024 中国茶消费长期变化与新表达
可直接供前端读取的数据导航；取消独立“2024产业快照”，改为单一连续瀑布流</x:v>
      </x:c>
      <x:c r="F2" s="5" t="str">
        <x:v>叶片板块｜2010—2024 中国茶消费长期变化与新表达
可直接供前端读取的数据导航；取消独立“2024产业快照”，改为单一连续瀑布流</x:v>
      </x:c>
      <x:c r="G2" s="5" t="str">
        <x:v>叶片板块｜2010—2024 中国茶消费长期变化与新表达
可直接供前端读取的数据导航；取消独立“2024产业快照”，改为单一连续瀑布流</x:v>
      </x:c>
      <x:c r="H2" s="5" t="str">
        <x:v>叶片板块｜2010—2024 中国茶消费长期变化与新表达
可直接供前端读取的数据导航；取消独立“2024产业快照”，改为单一连续瀑布流</x:v>
      </x:c>
    </x:row>
    <x:row r="4" ht="38" customHeight="1">
      <x:c r="A4" s="11" t="str">
        <x:v>页面区块</x:v>
      </x:c>
      <x:c r="B4" s="11" t="str">
        <x:v>展示目的</x:v>
      </x:c>
      <x:c r="C4" s="11" t="str">
        <x:v>对应工作表</x:v>
      </x:c>
      <x:c r="D4" s="11" t="str">
        <x:v>时间范围</x:v>
      </x:c>
      <x:c r="E4" s="11" t="str">
        <x:v>图表/组件正式名称</x:v>
      </x:c>
      <x:c r="F4" s="11" t="str">
        <x:v>核心信息</x:v>
      </x:c>
      <x:c r="G4" s="11" t="str">
        <x:v>数据状态</x:v>
      </x:c>
      <x:c r="H4" s="11" t="str">
        <x:v>前端建议</x:v>
      </x:c>
    </x:row>
    <x:row r="5" ht="38" customHeight="1">
      <x:c r="A5" s="30" t="str">
        <x:v>开场</x:v>
      </x:c>
      <x:c r="B5" s="31" t="str">
        <x:v>快速建立判断</x:v>
      </x:c>
      <x:c r="C5" s="31" t="str">
        <x:v>02_核心指标</x:v>
      </x:c>
      <x:c r="D5" s="31" t="str">
        <x:v>2010—2024</x:v>
      </x:c>
      <x:c r="E5" s="31" t="str">
        <x:v>先看结论</x:v>
      </x:c>
      <x:c r="F5" s="31" t="str">
        <x:v>规模扩大、增速换挡、量稳价变</x:v>
      </x:c>
      <x:c r="G5" s="31" t="str">
        <x:v>公式计算</x:v>
      </x:c>
      <x:c r="H5" s="32" t="str">
        <x:v>3张小卡，避免做成年度快照</x:v>
      </x:c>
    </x:row>
    <x:row r="6" ht="38" customHeight="1">
      <x:c r="A6" s="33" t="str">
        <x:v>趋势一</x:v>
      </x:c>
      <x:c r="B6" s="34" t="str">
        <x:v>观察长期规模</x:v>
      </x:c>
      <x:c r="C6" s="34" t="str">
        <x:v>04_内销趋势</x:v>
      </x:c>
      <x:c r="D6" s="34" t="str">
        <x:v>2010—2024</x:v>
      </x:c>
      <x:c r="E6" s="34" t="str">
        <x:v>图1 中国茶叶内销总量趋势图（2010—2024年）</x:v>
      </x:c>
      <x:c r="F6" s="34" t="str">
        <x:v>15年内销量长期增长，但近年趋稳</x:v>
      </x:c>
      <x:c r="G6" s="34" t="str">
        <x:v>完整15点</x:v>
      </x:c>
      <x:c r="H6" s="35" t="str">
        <x:v>统一纯色实心圆点；tooltip不显示“口径”</x:v>
      </x:c>
    </x:row>
    <x:row r="7" ht="38" customHeight="1">
      <x:c r="A7" s="33" t="str">
        <x:v>趋势二</x:v>
      </x:c>
      <x:c r="B7" s="34" t="str">
        <x:v>对比量价关系</x:v>
      </x:c>
      <x:c r="C7" s="34" t="str">
        <x:v>04_内销趋势</x:v>
      </x:c>
      <x:c r="D7" s="34" t="str">
        <x:v>2013—2024</x:v>
      </x:c>
      <x:c r="E7" s="34" t="str">
        <x:v>图2 中国茶叶内销总额与均价趋势图（2013—2024年）</x:v>
      </x:c>
      <x:c r="F7" s="34" t="str">
        <x:v>销售额在2022年后回落，均价同步承压</x:v>
      </x:c>
      <x:c r="G7" s="34" t="str">
        <x:v>2013—2015含约数</x:v>
      </x:c>
      <x:c r="H7" s="35" t="str">
        <x:v>柱线双轴；约数用空心点或≈</x:v>
      </x:c>
    </x:row>
    <x:row r="8" ht="38" customHeight="1">
      <x:c r="A8" s="33" t="str">
        <x:v>阶段解读</x:v>
      </x:c>
      <x:c r="B8" s="34" t="str">
        <x:v>给数据加层次</x:v>
      </x:c>
      <x:c r="C8" s="34" t="str">
        <x:v>06_阶段分析</x:v>
      </x:c>
      <x:c r="D8" s="34" t="str">
        <x:v>2010—2024</x:v>
      </x:c>
      <x:c r="E8" s="34" t="str">
        <x:v>三阶段读图</x:v>
      </x:c>
      <x:c r="F8" s="34" t="str">
        <x:v>规模扩张→价值提升→场景分化</x:v>
      </x:c>
      <x:c r="G8" s="34" t="str">
        <x:v>公式+编辑解读</x:v>
      </x:c>
      <x:c r="H8" s="35" t="str">
        <x:v>横向时间带或3张递进卡</x:v>
      </x:c>
    </x:row>
    <x:row r="9" ht="38" customHeight="1">
      <x:c r="A9" s="33" t="str">
        <x:v>渠道趋势</x:v>
      </x:c>
      <x:c r="B9" s="34" t="str">
        <x:v>观察线上化</x:v>
      </x:c>
      <x:c r="C9" s="34" t="str">
        <x:v>05_线上趋势</x:v>
      </x:c>
      <x:c r="D9" s="34" t="str">
        <x:v>2016—2024</x:v>
      </x:c>
      <x:c r="E9" s="34" t="str">
        <x:v>图3 中国茶叶线上交易规模变化图（2016—2024年）</x:v>
      </x:c>
      <x:c r="F9" s="34" t="str">
        <x:v>线上交易增长；2021为缺失断点</x:v>
      </x:c>
      <x:c r="G9" s="34" t="str">
        <x:v>缺失已标注</x:v>
      </x:c>
      <x:c r="H9" s="35" t="str">
        <x:v>所有有效年份统一柱色；tooltip不显示“口径”</x:v>
      </x:c>
    </x:row>
    <x:row r="10" ht="38" customHeight="1">
      <x:c r="A10" s="36" t="str">
        <x:v>产品表达</x:v>
      </x:c>
      <x:c r="B10" s="37" t="str">
        <x:v>落到当代应用</x:v>
      </x:c>
      <x:c r="C10" s="37" t="str">
        <x:v>03_产品应用</x:v>
      </x:c>
      <x:c r="D10" s="37" t="str">
        <x:v>当代</x:v>
      </x:c>
      <x:c r="E10" s="37" t="str">
        <x:v>一片茶叶的六种新表达</x:v>
      </x:c>
      <x:c r="F10" s="37" t="str">
        <x:v>六类现代茶产品与场景</x:v>
      </x:c>
      <x:c r="G10" s="37" t="str">
        <x:v>6项代表性数据</x:v>
      </x:c>
      <x:c r="H10" s="38" t="str">
        <x:v>2×3入口卡＋手机内详情卡；数据不可横向排名</x:v>
      </x:c>
    </x:row>
    <x:row r="11" ht="38" customHeight="1"/>
    <x:row r="12" ht="38" customHeight="1">
      <x:c r="A12" s="42" t="str">
        <x:v>重要口径：2010—2012年没有纳入可比的内销总额；2013—2015年部分金额为公开图表数字化约数；2021年线上交易额缺失。前端必须显示约数/推算/下限/缺失标识，不能补造。</x:v>
      </x:c>
      <x:c r="B12" s="42"/>
      <x:c r="C12" s="42"/>
      <x:c r="D12" s="42"/>
      <x:c r="E12" s="42"/>
      <x:c r="F12" s="42"/>
      <x:c r="G12" s="42"/>
      <x:c r="H12" s="42"/>
    </x:row>
  </x:sheetData>
  <x:mergeCells>
    <x:mergeCell ref="A1:H2"/>
    <x:mergeCell ref="A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6" hidden="0" customWidth="1"/>
    <x:col min="3" max="3" width="34" hidden="0" customWidth="1"/>
    <x:col min="4" max="4" width="40" hidden="0" customWidth="1"/>
    <x:col min="5" max="5" width="32" hidden="0" customWidth="1"/>
    <x:col min="6" max="6" width="27" hidden="0" customWidth="1"/>
  </x:cols>
  <x:sheetData>
    <x:row r="1">
      <x:c r="A1" s="5" t="str">
        <x:v>使用说明
本工作簿含实际数据、来源、口径和可直接交给开发 Agent 的完整提示词</x:v>
      </x:c>
      <x:c r="B1" s="5" t="str">
        <x:v>使用说明
本工作簿含实际数据、来源、口径和可直接交给开发 Agent 的完整提示词</x:v>
      </x:c>
      <x:c r="C1" s="5" t="str">
        <x:v>使用说明
本工作簿含实际数据、来源、口径和可直接交给开发 Agent 的完整提示词</x:v>
      </x:c>
      <x:c r="D1" s="5" t="str">
        <x:v>使用说明
本工作簿含实际数据、来源、口径和可直接交给开发 Agent 的完整提示词</x:v>
      </x:c>
      <x:c r="E1" s="5" t="str">
        <x:v>使用说明
本工作簿含实际数据、来源、口径和可直接交给开发 Agent 的完整提示词</x:v>
      </x:c>
      <x:c r="F1" s="5" t="str">
        <x:v>使用说明
本工作簿含实际数据、来源、口径和可直接交给开发 Agent 的完整提示词</x:v>
      </x:c>
    </x:row>
    <x:row r="2">
      <x:c r="A2" s="5" t="str">
        <x:v>使用说明
本工作簿含实际数据、来源、口径和可直接交给开发 Agent 的完整提示词</x:v>
      </x:c>
      <x:c r="B2" s="5" t="str">
        <x:v>使用说明
本工作簿含实际数据、来源、口径和可直接交给开发 Agent 的完整提示词</x:v>
      </x:c>
      <x:c r="C2" s="5" t="str">
        <x:v>使用说明
本工作簿含实际数据、来源、口径和可直接交给开发 Agent 的完整提示词</x:v>
      </x:c>
      <x:c r="D2" s="5" t="str">
        <x:v>使用说明
本工作簿含实际数据、来源、口径和可直接交给开发 Agent 的完整提示词</x:v>
      </x:c>
      <x:c r="E2" s="5" t="str">
        <x:v>使用说明
本工作簿含实际数据、来源、口径和可直接交给开发 Agent 的完整提示词</x:v>
      </x:c>
      <x:c r="F2" s="5" t="str">
        <x:v>使用说明
本工作簿含实际数据、来源、口径和可直接交给开发 Agent 的完整提示词</x:v>
      </x:c>
    </x:row>
    <x:row r="4" ht="48" customHeight="1">
      <x:c r="A4" s="11" t="str">
        <x:v>步骤</x:v>
      </x:c>
      <x:c r="B4" s="11" t="str">
        <x:v>操作</x:v>
      </x:c>
      <x:c r="C4" s="11" t="str">
        <x:v>说明</x:v>
      </x:c>
      <x:c r="D4" s="11" t="str">
        <x:v>禁止事项</x:v>
      </x:c>
      <x:c r="E4" s="11" t="str">
        <x:v>验收点</x:v>
      </x:c>
      <x:c r="F4" s="11" t="str">
        <x:v>对应表</x:v>
      </x:c>
    </x:row>
    <x:row r="5" ht="48" customHeight="1">
      <x:c r="A5" s="30" t="n">
        <x:v>1</x:v>
      </x:c>
      <x:c r="B5" s="31" t="str">
        <x:v>只改叶片点击后的手机内部内容</x:v>
      </x:c>
      <x:c r="C5" s="31" t="str">
        <x:v>保留现有页面框架与交互入口</x:v>
      </x:c>
      <x:c r="D5" s="31" t="str">
        <x:v>不要修改树、根、枝、导航、分页、背景、手机外壳和其他章节</x:v>
      </x:c>
      <x:c r="E5" s="31" t="str">
        <x:v>点击叶片仍在原位置打开手机瀑布流</x:v>
      </x:c>
      <x:c r="F5" s="32" t="str">
        <x:v>08_Agent提示词</x:v>
      </x:c>
    </x:row>
    <x:row r="6" ht="48" customHeight="1">
      <x:c r="A6" s="33" t="n">
        <x:v>2</x:v>
      </x:c>
      <x:c r="B6" s="34" t="str">
        <x:v>移除独立产业快照与双页签</x:v>
      </x:c>
      <x:c r="C6" s="34" t="str">
        <x:v>改为一条连续瀑布流</x:v>
      </x:c>
      <x:c r="D6" s="34" t="str">
        <x:v>不要把旧页签仅隐藏；不要保留年度下拉框</x:v>
      </x:c>
      <x:c r="E6" s="34" t="str">
        <x:v>手机内无“2024产业快照”入口</x:v>
      </x:c>
      <x:c r="F6" s="35" t="str">
        <x:v>00_数据总览</x:v>
      </x:c>
    </x:row>
    <x:row r="7" ht="48" customHeight="1">
      <x:c r="A7" s="33" t="n">
        <x:v>3</x:v>
      </x:c>
      <x:c r="B7" s="34" t="str">
        <x:v>读取长期趋势数据</x:v>
      </x:c>
      <x:c r="C7" s="34" t="str">
        <x:v>将表格转换为本地JS/TS/JSON常量</x:v>
      </x:c>
      <x:c r="D7" s="34" t="str">
        <x:v>不要在浏览器运行时解析Excel</x:v>
      </x:c>
      <x:c r="E7" s="34" t="str">
        <x:v>图1覆盖2010—2024全部年份</x:v>
      </x:c>
      <x:c r="F7" s="35" t="str">
        <x:v>04_内销趋势</x:v>
      </x:c>
    </x:row>
    <x:row r="8" ht="48" customHeight="1">
      <x:c r="A8" s="33" t="n">
        <x:v>4</x:v>
      </x:c>
      <x:c r="B8" s="34" t="str">
        <x:v>简化图表提示</x:v>
      </x:c>
      <x:c r="C8" s="34" t="str">
        <x:v>图1、图3 tooltip不出现“口径”字段；2021仍显示数据缺失</x:v>
      </x:c>
      <x:c r="D8" s="34" t="str">
        <x:v>不要插值2021线上数据；不要用不同颜色强调普通年份</x:v>
      </x:c>
      <x:c r="E8" s="34" t="str">
        <x:v>图1圆点统一；图3有效柱统一配色</x:v>
      </x:c>
      <x:c r="F8" s="35" t="str">
        <x:v>04_内销趋势、05_线上趋势</x:v>
      </x:c>
    </x:row>
    <x:row r="9" ht="48" customHeight="1">
      <x:c r="A9" s="33" t="n">
        <x:v>5</x:v>
      </x:c>
      <x:c r="B9" s="34" t="str">
        <x:v>增加分析层次</x:v>
      </x:c>
      <x:c r="C9" s="34" t="str">
        <x:v>依次展示结论、趋势、阶段、线上渠道、新表达</x:v>
      </x:c>
      <x:c r="D9" s="34" t="str">
        <x:v>不要只堆图表；不要使用空泛口号卡</x:v>
      </x:c>
      <x:c r="E9" s="34" t="str">
        <x:v>每张图后有1—2句可验证的解读</x:v>
      </x:c>
      <x:c r="F9" s="35" t="str">
        <x:v>02_核心指标、06_阶段分析</x:v>
      </x:c>
    </x:row>
    <x:row r="10" ht="48" customHeight="1">
      <x:c r="A10" s="33" t="n">
        <x:v>6</x:v>
      </x:c>
      <x:c r="B10" s="34" t="str">
        <x:v>增加六类详情数据</x:v>
      </x:c>
      <x:c r="C10" s="34" t="str">
        <x:v>点击每张新表达卡，在手机内部打开统一详情卡</x:v>
      </x:c>
      <x:c r="D10" s="34" t="str">
        <x:v>不同范围和年份的数据禁止横向排名</x:v>
      </x:c>
      <x:c r="E10" s="34" t="str">
        <x:v>显示指标、年份、范围、辅助数据、解读和来源</x:v>
      </x:c>
      <x:c r="F10" s="35" t="str">
        <x:v>03_产品应用</x:v>
      </x:c>
    </x:row>
    <x:row r="11" ht="48" customHeight="1">
      <x:c r="A11" s="36" t="n">
        <x:v>7</x:v>
      </x:c>
      <x:c r="B11" s="37" t="str">
        <x:v>修复全部图表遮挡</x:v>
      </x:c>
      <x:c r="C11" s="37" t="str">
        <x:v>标题放图表外；图例、坐标轴、单位与标签留足安全间距</x:v>
      </x:c>
      <x:c r="D11" s="37" t="str">
        <x:v>不要改总体页面比例、手机大小位置或全局CSS</x:v>
      </x:c>
      <x:c r="E11" s="37" t="str">
        <x:v>无文字重叠、横向滚动或tooltip溢出</x:v>
      </x:c>
      <x:c r="F11" s="38" t="str">
        <x:v>08_Agent提示词</x:v>
      </x:c>
    </x:row>
  </x:sheetData>
  <x:mergeCells>
    <x:mergeCell ref="A1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16" hidden="0" customWidth="1"/>
    <x:col min="4" max="4" width="14" hidden="0" customWidth="1"/>
    <x:col min="5" max="5" width="33" hidden="0" customWidth="1"/>
    <x:col min="6" max="6" width="42" hidden="0" customWidth="1"/>
    <x:col min="7" max="7" width="38" hidden="0" customWidth="1"/>
    <x:col min="8" max="8" width="32" hidden="0" customWidth="1"/>
  </x:cols>
  <x:sheetData>
    <x:row r="1">
      <x:c r="A1" s="5" t="str">
        <x:v>先看结论｜不是年度快照
3张分析卡用于趋势开场，所有数值由04_内销趋势公式计算</x:v>
      </x:c>
      <x:c r="B1" s="5" t="str">
        <x:v>先看结论｜不是年度快照
3张分析卡用于趋势开场，所有数值由04_内销趋势公式计算</x:v>
      </x:c>
      <x:c r="C1" s="5" t="str">
        <x:v>先看结论｜不是年度快照
3张分析卡用于趋势开场，所有数值由04_内销趋势公式计算</x:v>
      </x:c>
      <x:c r="D1" s="5" t="str">
        <x:v>先看结论｜不是年度快照
3张分析卡用于趋势开场，所有数值由04_内销趋势公式计算</x:v>
      </x:c>
      <x:c r="E1" s="5" t="str">
        <x:v>先看结论｜不是年度快照
3张分析卡用于趋势开场，所有数值由04_内销趋势公式计算</x:v>
      </x:c>
      <x:c r="F1" s="5" t="str">
        <x:v>先看结论｜不是年度快照
3张分析卡用于趋势开场，所有数值由04_内销趋势公式计算</x:v>
      </x:c>
      <x:c r="G1" s="5" t="str">
        <x:v>先看结论｜不是年度快照
3张分析卡用于趋势开场，所有数值由04_内销趋势公式计算</x:v>
      </x:c>
      <x:c r="H1" s="5" t="str">
        <x:v>先看结论｜不是年度快照
3张分析卡用于趋势开场，所有数值由04_内销趋势公式计算</x:v>
      </x:c>
    </x:row>
    <x:row r="2">
      <x:c r="A2" s="5" t="str">
        <x:v>先看结论｜不是年度快照
3张分析卡用于趋势开场，所有数值由04_内销趋势公式计算</x:v>
      </x:c>
      <x:c r="B2" s="5" t="str">
        <x:v>先看结论｜不是年度快照
3张分析卡用于趋势开场，所有数值由04_内销趋势公式计算</x:v>
      </x:c>
      <x:c r="C2" s="5" t="str">
        <x:v>先看结论｜不是年度快照
3张分析卡用于趋势开场，所有数值由04_内销趋势公式计算</x:v>
      </x:c>
      <x:c r="D2" s="5" t="str">
        <x:v>先看结论｜不是年度快照
3张分析卡用于趋势开场，所有数值由04_内销趋势公式计算</x:v>
      </x:c>
      <x:c r="E2" s="5" t="str">
        <x:v>先看结论｜不是年度快照
3张分析卡用于趋势开场，所有数值由04_内销趋势公式计算</x:v>
      </x:c>
      <x:c r="F2" s="5" t="str">
        <x:v>先看结论｜不是年度快照
3张分析卡用于趋势开场，所有数值由04_内销趋势公式计算</x:v>
      </x:c>
      <x:c r="G2" s="5" t="str">
        <x:v>先看结论｜不是年度快照
3张分析卡用于趋势开场，所有数值由04_内销趋势公式计算</x:v>
      </x:c>
      <x:c r="H2" s="5" t="str">
        <x:v>先看结论｜不是年度快照
3张分析卡用于趋势开场，所有数值由04_内销趋势公式计算</x:v>
      </x:c>
    </x:row>
    <x:row r="4" ht="55" customHeight="1">
      <x:c r="A4" s="11" t="str">
        <x:v>卡片ID</x:v>
      </x:c>
      <x:c r="B4" s="11" t="str">
        <x:v>卡片标题</x:v>
      </x:c>
      <x:c r="C4" s="11" t="str">
        <x:v>主指标</x:v>
      </x:c>
      <x:c r="D4" s="11" t="str">
        <x:v>主指标格式</x:v>
      </x:c>
      <x:c r="E4" s="11" t="str">
        <x:v>副指标</x:v>
      </x:c>
      <x:c r="F4" s="11" t="str">
        <x:v>解读</x:v>
      </x:c>
      <x:c r="G4" s="11" t="str">
        <x:v>计算口径</x:v>
      </x:c>
      <x:c r="H4" s="11" t="str">
        <x:v>前端样式</x:v>
      </x:c>
    </x:row>
    <x:row r="5" ht="55" customHeight="1">
      <x:c r="A5" s="30" t="str">
        <x:v>K01</x:v>
      </x:c>
      <x:c r="B5" s="31" t="str">
        <x:v>十五年规模扩张</x:v>
      </x:c>
      <x:c r="C5" s="43" t="n">
        <x:f>'04_内销趋势'!B19/'04_内销趋势'!B5-1</x:f>
        <x:v>1.1933636363636366</x:v>
      </x:c>
      <x:c r="D5" s="31" t="str">
        <x:v>0.0%</x:v>
      </x:c>
      <x:c r="E5" s="31" t="str">
        <x:v>110.00→241.27万吨</x:v>
      </x:c>
      <x:c r="F5" s="31" t="str">
        <x:v>2010—2024年内销量累计增长约119.3%，长期扩容清晰。</x:v>
      </x:c>
      <x:c r="G5" s="31" t="str">
        <x:v>2024内销量÷2010内销量−1</x:v>
      </x:c>
      <x:c r="H5" s="32" t="str">
        <x:v>大号数字+起止年份迷你刻度</x:v>
      </x:c>
    </x:row>
    <x:row r="6" ht="55" customHeight="1">
      <x:c r="A6" s="33" t="str">
        <x:v>K02</x:v>
      </x:c>
      <x:c r="B6" s="34" t="str">
        <x:v>增长速度换挡</x:v>
      </x:c>
      <x:c r="C6" s="44" t="n">
        <x:f>('04_内销趋势'!B19/'04_内销趋势'!B5)^(1/14)-1</x:f>
        <x:v>0.057706189196405244</x:v>
      </x:c>
      <x:c r="D6" s="34" t="str">
        <x:v>0.0%</x:v>
      </x:c>
      <x:c r="E6" s="34" t="str">
        <x:v>2010—2014年约8.1% → 2020—2024年约2.3%</x:v>
      </x:c>
      <x:c r="F6" s="34" t="str">
        <x:v>长期仍增长，但阶段复合增速明显下降，市场从扩量转向结构优化。</x:v>
      </x:c>
      <x:c r="G6" s="34" t="str">
        <x:v>2010—2024年内销量CAGR；阶段值见06_阶段分析</x:v>
      </x:c>
      <x:c r="H6" s="35" t="str">
        <x:v>三个阶段小刻度，不做独立年度卡</x:v>
      </x:c>
    </x:row>
    <x:row r="7" ht="55" customHeight="1">
      <x:c r="A7" s="36" t="str">
        <x:v>K03</x:v>
      </x:c>
      <x:c r="B7" s="37" t="str">
        <x:v>近两年量稳价变</x:v>
      </x:c>
      <x:c r="C7" s="45" t="n">
        <x:f>'04_内销趋势'!B19/'04_内销趋势'!B17-1</x:f>
        <x:v>0.00633993743482808</x:v>
      </x:c>
      <x:c r="D7" s="37" t="str">
        <x:v>0.0%</x:v>
      </x:c>
      <x:c r="E7" s="37" t="str">
        <x:f>"销售额 "&amp;TEXT('04_内销趋势'!E19/'04_内销趋势'!E17-1,"0.0%")&amp;"；均价 "&amp;TEXT('04_内销趋势'!G19/'04_内销趋势'!G17-1,"0.0%")</x:f>
        <x:v>销售额 -4.1%；均价 -4.7%</x:v>
      </x:c>
      <x:c r="F7" s="37" t="str">
        <x:v>2022—2024年内销量仅小幅增加，销售额和均价下降，体现理性消费与结构调整。</x:v>
      </x:c>
      <x:c r="G7" s="37" t="str">
        <x:v>2024÷2022−1；副指标引用销售额/均价累计变化</x:v>
      </x:c>
      <x:c r="H7" s="38" t="str">
        <x:v>量、额、价三个方向箭头</x:v>
      </x:c>
    </x:row>
    <x:row r="8" ht="55" customHeight="1"/>
    <x:row r="9" ht="55" customHeight="1">
      <x:c r="A9" s="41" t="str">
        <x:v>前端卡片只承担“先给结论”的作用，不要恢复为2024产业快照，也不要摆放2024总量、品类数等孤立指标。</x:v>
      </x:c>
      <x:c r="B9" s="41"/>
      <x:c r="C9" s="41"/>
      <x:c r="D9" s="41"/>
      <x:c r="E9" s="41"/>
      <x:c r="F9" s="41"/>
      <x:c r="G9" s="41"/>
      <x:c r="H9" s="41"/>
    </x:row>
  </x:sheetData>
  <x:mergeCells>
    <x:mergeCell ref="A1:H2"/>
    <x:mergeCell ref="A9:H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4" hidden="0" customWidth="1"/>
    <x:col min="4" max="4" width="38" hidden="0" customWidth="1"/>
    <x:col min="5" max="5" width="28" hidden="0" customWidth="1"/>
    <x:col min="6" max="6" width="14" hidden="0" customWidth="1"/>
    <x:col min="7" max="7" width="15" hidden="0" customWidth="1"/>
    <x:col min="8" max="8" width="13" hidden="0" customWidth="1"/>
    <x:col min="9" max="9" width="23" hidden="0" customWidth="1"/>
    <x:col min="10" max="10" width="33" hidden="0" customWidth="1"/>
    <x:col min="11" max="11" width="48" hidden="0" customWidth="1"/>
    <x:col min="12" max="12" width="27" hidden="0" customWidth="1"/>
    <x:col min="13" max="13" width="58" hidden="0" customWidth="1"/>
    <x:col min="14" max="14" width="42" hidden="0" customWidth="1"/>
  </x:cols>
  <x:sheetData>
    <x:row r="1">
      <x:c r="A1" s="5" t="str">
        <x:v>一片茶叶的六种新表达｜详情卡数据
六类入口卡采用统一详情结构，但指标年份与统计范围不同，不用于横向排名</x:v>
      </x:c>
      <x:c r="B1" s="5" t="str">
        <x:v>一片茶叶的六种新表达｜详情卡数据
六类入口卡采用统一详情结构，但指标年份与统计范围不同，不用于横向排名</x:v>
      </x:c>
      <x:c r="C1" s="5" t="str">
        <x:v>一片茶叶的六种新表达｜详情卡数据
六类入口卡采用统一详情结构，但指标年份与统计范围不同，不用于横向排名</x:v>
      </x:c>
      <x:c r="D1" s="5" t="str">
        <x:v>一片茶叶的六种新表达｜详情卡数据
六类入口卡采用统一详情结构，但指标年份与统计范围不同，不用于横向排名</x:v>
      </x:c>
      <x:c r="E1" s="5" t="str">
        <x:v>一片茶叶的六种新表达｜详情卡数据
六类入口卡采用统一详情结构，但指标年份与统计范围不同，不用于横向排名</x:v>
      </x:c>
      <x:c r="F1" s="5" t="str">
        <x:v>一片茶叶的六种新表达｜详情卡数据
六类入口卡采用统一详情结构，但指标年份与统计范围不同，不用于横向排名</x:v>
      </x:c>
      <x:c r="G1" s="5" t="str">
        <x:v>一片茶叶的六种新表达｜详情卡数据
六类入口卡采用统一详情结构，但指标年份与统计范围不同，不用于横向排名</x:v>
      </x:c>
      <x:c r="H1" s="5" t="str">
        <x:v>一片茶叶的六种新表达｜详情卡数据
六类入口卡采用统一详情结构，但指标年份与统计范围不同，不用于横向排名</x:v>
      </x:c>
      <x:c r="I1" s="5" t="str">
        <x:v>一片茶叶的六种新表达｜详情卡数据
六类入口卡采用统一详情结构，但指标年份与统计范围不同，不用于横向排名</x:v>
      </x:c>
      <x:c r="J1" s="5" t="str">
        <x:v>一片茶叶的六种新表达｜详情卡数据
六类入口卡采用统一详情结构，但指标年份与统计范围不同，不用于横向排名</x:v>
      </x:c>
      <x:c r="K1" s="5" t="str">
        <x:v>一片茶叶的六种新表达｜详情卡数据
六类入口卡采用统一详情结构，但指标年份与统计范围不同，不用于横向排名</x:v>
      </x:c>
      <x:c r="L1" s="5" t="str">
        <x:v>一片茶叶的六种新表达｜详情卡数据
六类入口卡采用统一详情结构，但指标年份与统计范围不同，不用于横向排名</x:v>
      </x:c>
      <x:c r="M1" s="5" t="str">
        <x:v>一片茶叶的六种新表达｜详情卡数据
六类入口卡采用统一详情结构，但指标年份与统计范围不同，不用于横向排名</x:v>
      </x:c>
      <x:c r="N1" s="5" t="str">
        <x:v>一片茶叶的六种新表达｜详情卡数据
六类入口卡采用统一详情结构，但指标年份与统计范围不同，不用于横向排名</x:v>
      </x:c>
    </x:row>
    <x:row r="2">
      <x:c r="A2" s="5" t="str">
        <x:v>一片茶叶的六种新表达｜详情卡数据
六类入口卡采用统一详情结构，但指标年份与统计范围不同，不用于横向排名</x:v>
      </x:c>
      <x:c r="B2" s="5" t="str">
        <x:v>一片茶叶的六种新表达｜详情卡数据
六类入口卡采用统一详情结构，但指标年份与统计范围不同，不用于横向排名</x:v>
      </x:c>
      <x:c r="C2" s="5" t="str">
        <x:v>一片茶叶的六种新表达｜详情卡数据
六类入口卡采用统一详情结构，但指标年份与统计范围不同，不用于横向排名</x:v>
      </x:c>
      <x:c r="D2" s="5" t="str">
        <x:v>一片茶叶的六种新表达｜详情卡数据
六类入口卡采用统一详情结构，但指标年份与统计范围不同，不用于横向排名</x:v>
      </x:c>
      <x:c r="E2" s="5" t="str">
        <x:v>一片茶叶的六种新表达｜详情卡数据
六类入口卡采用统一详情结构，但指标年份与统计范围不同，不用于横向排名</x:v>
      </x:c>
      <x:c r="F2" s="5" t="str">
        <x:v>一片茶叶的六种新表达｜详情卡数据
六类入口卡采用统一详情结构，但指标年份与统计范围不同，不用于横向排名</x:v>
      </x:c>
      <x:c r="G2" s="5" t="str">
        <x:v>一片茶叶的六种新表达｜详情卡数据
六类入口卡采用统一详情结构，但指标年份与统计范围不同，不用于横向排名</x:v>
      </x:c>
      <x:c r="H2" s="5" t="str">
        <x:v>一片茶叶的六种新表达｜详情卡数据
六类入口卡采用统一详情结构，但指标年份与统计范围不同，不用于横向排名</x:v>
      </x:c>
      <x:c r="I2" s="5" t="str">
        <x:v>一片茶叶的六种新表达｜详情卡数据
六类入口卡采用统一详情结构，但指标年份与统计范围不同，不用于横向排名</x:v>
      </x:c>
      <x:c r="J2" s="5" t="str">
        <x:v>一片茶叶的六种新表达｜详情卡数据
六类入口卡采用统一详情结构，但指标年份与统计范围不同，不用于横向排名</x:v>
      </x:c>
      <x:c r="K2" s="5" t="str">
        <x:v>一片茶叶的六种新表达｜详情卡数据
六类入口卡采用统一详情结构，但指标年份与统计范围不同，不用于横向排名</x:v>
      </x:c>
      <x:c r="L2" s="5" t="str">
        <x:v>一片茶叶的六种新表达｜详情卡数据
六类入口卡采用统一详情结构，但指标年份与统计范围不同，不用于横向排名</x:v>
      </x:c>
      <x:c r="M2" s="5" t="str">
        <x:v>一片茶叶的六种新表达｜详情卡数据
六类入口卡采用统一详情结构，但指标年份与统计范围不同，不用于横向排名</x:v>
      </x:c>
      <x:c r="N2" s="5" t="str">
        <x:v>一片茶叶的六种新表达｜详情卡数据
六类入口卡采用统一详情结构，但指标年份与统计范围不同，不用于横向排名</x:v>
      </x:c>
    </x:row>
    <x:row r="4" ht="60" customHeight="1">
      <x:c r="A4" s="11" t="str">
        <x:v>排序</x:v>
      </x:c>
      <x:c r="B4" s="11" t="str">
        <x:v>表达类型</x:v>
      </x:c>
      <x:c r="C4" s="11" t="str">
        <x:v>卡片副标题</x:v>
      </x:c>
      <x:c r="D4" s="11" t="str">
        <x:v>代表产品</x:v>
      </x:c>
      <x:c r="E4" s="11" t="str">
        <x:v>核心指标名称</x:v>
      </x:c>
      <x:c r="F4" s="11" t="str">
        <x:v>数值</x:v>
      </x:c>
      <x:c r="G4" s="11" t="str">
        <x:v>单位</x:v>
      </x:c>
      <x:c r="H4" s="11" t="str">
        <x:v>数据年份</x:v>
      </x:c>
      <x:c r="I4" s="11" t="str">
        <x:v>统计范围</x:v>
      </x:c>
      <x:c r="J4" s="11" t="str">
        <x:v>辅助数据</x:v>
      </x:c>
      <x:c r="K4" s="11" t="str">
        <x:v>详情解读</x:v>
      </x:c>
      <x:c r="L4" s="11" t="str">
        <x:v>来源名称</x:v>
      </x:c>
      <x:c r="M4" s="11" t="str">
        <x:v>来源URL</x:v>
      </x:c>
      <x:c r="N4" s="11" t="str">
        <x:v>使用提示</x:v>
      </x:c>
    </x:row>
    <x:row r="5" ht="60" customHeight="1">
      <x:c r="A5" s="30" t="str">
        <x:v>01</x:v>
      </x:c>
      <x:c r="B5" s="31" t="str">
        <x:v>原叶冲泡</x:v>
      </x:c>
      <x:c r="C5" s="31" t="str">
        <x:v>传统茶的日常基本盘</x:v>
      </x:c>
      <x:c r="D5" s="31" t="str">
        <x:v>散茶、冷泡、小规格、拼配风味</x:v>
      </x:c>
      <x:c r="E5" s="31" t="str">
        <x:v>2024年原叶茶内销量</x:v>
      </x:c>
      <x:c r="F5" s="46" t="n">
        <x:v>241.27</x:v>
      </x:c>
      <x:c r="G5" s="31" t="str">
        <x:v>万吨</x:v>
      </x:c>
      <x:c r="H5" s="31" t="str">
        <x:v>2024</x:v>
      </x:c>
      <x:c r="I5" s="31" t="str">
        <x:v>全国</x:v>
      </x:c>
      <x:c r="J5" s="31" t="str">
        <x:v>内销总额3257.55亿元</x:v>
      </x:c>
      <x:c r="K5" s="31" t="str">
        <x:v>原叶茶仍是中国茶消费的主体，也是其他现代茶产品的原料基础。</x:v>
      </x:c>
      <x:c r="L5" s="31" t="str">
        <x:v>中国茶叶流通协会、新华网</x:v>
      </x:c>
      <x:c r="M5" s="31" t="str">
        <x:v>https://www.news.cn/food/20250403/762ed35936a64a34b43c08b0c836da2a/c.html</x:v>
      </x:c>
      <x:c r="N5" s="32" t="str">
        <x:v>全国年度行业统计</x:v>
      </x:c>
    </x:row>
    <x:row r="6" ht="60" customHeight="1">
      <x:c r="A6" s="33" t="str">
        <x:v>02</x:v>
      </x:c>
      <x:c r="B6" s="34" t="str">
        <x:v>便捷茶饮</x:v>
      </x:c>
      <x:c r="C6" s="34" t="str">
        <x:v>从冲泡到随身</x:v>
      </x:c>
      <x:c r="D6" s="34" t="str">
        <x:v>袋泡茶、茶粉、浓缩茶液、冻干茶块</x:v>
      </x:c>
      <x:c r="E6" s="34" t="str">
        <x:v>袋泡茶线上市场规模</x:v>
      </x:c>
      <x:c r="F6" s="47" t="n">
        <x:v>180.3</x:v>
      </x:c>
      <x:c r="G6" s="34" t="str">
        <x:v>亿元</x:v>
      </x:c>
      <x:c r="H6" s="34" t="str">
        <x:v>2022</x:v>
      </x:c>
      <x:c r="I6" s="34" t="str">
        <x:v>全国线上市场</x:v>
      </x:c>
      <x:c r="J6" s="34" t="str">
        <x:v>截至2023年6月存续企业1939家</x:v>
      </x:c>
      <x:c r="K6" s="34" t="str">
        <x:v>袋泡茶以冲泡简单和便携为核心特征，是便捷茶饮中公开数据较完整的代表品类。</x:v>
      </x:c>
      <x:c r="L6" s="34" t="str">
        <x:v>艾媒咨询（新浪财经转载）</x:v>
      </x:c>
      <x:c r="M6" s="34" t="str">
        <x:v>https://finance.sina.cn/2023-07-06/detail-imyztazu9095747.d.html?vt=4</x:v>
      </x:c>
      <x:c r="N6" s="35" t="str">
        <x:v>细分行业统计，不代表全部便捷茶饮</x:v>
      </x:c>
    </x:row>
    <x:row r="7" ht="60" customHeight="1">
      <x:c r="A7" s="33" t="str">
        <x:v>03</x:v>
      </x:c>
      <x:c r="B7" s="34" t="str">
        <x:v>现制新茶饮</x:v>
      </x:c>
      <x:c r="C7" s="34" t="str">
        <x:v>茶成为风味基底</x:v>
      </x:c>
      <x:c r="D7" s="34" t="str">
        <x:v>原叶鲜奶茶、果茶、纯茶、轻乳茶</x:v>
      </x:c>
      <x:c r="E7" s="34" t="str">
        <x:v>新茶饮行业耗茶量</x:v>
      </x:c>
      <x:c r="F7" s="47" t="n">
        <x:v>30</x:v>
      </x:c>
      <x:c r="G7" s="34" t="str">
        <x:v>万吨</x:v>
      </x:c>
      <x:c r="H7" s="34" t="str">
        <x:v>2024</x:v>
      </x:c>
      <x:c r="I7" s="34" t="str">
        <x:v>全国</x:v>
      </x:c>
      <x:c r="J7" s="34" t="str">
        <x:v>约占当年原叶茶内销量12.4%</x:v>
      </x:c>
      <x:c r="K7" s="34" t="str">
        <x:v>现制新茶饮已成为连接传统茶产区与年轻消费场景的重要原料渠道。</x:v>
      </x:c>
      <x:c r="L7" s="34" t="str">
        <x:v>中国茶叶流通协会、新华网</x:v>
      </x:c>
      <x:c r="M7" s="34" t="str">
        <x:v>https://www.news.cn/food/20250403/762ed35936a64a34b43c08b0c836da2a/c.html</x:v>
      </x:c>
      <x:c r="N7" s="35" t="str">
        <x:v>行业约数；占比由30÷241.27计算</x:v>
      </x:c>
    </x:row>
    <x:row r="8" ht="60" customHeight="1">
      <x:c r="A8" s="33" t="str">
        <x:v>04</x:v>
      </x:c>
      <x:c r="B8" s="34" t="str">
        <x:v>即饮及无糖茶</x:v>
      </x:c>
      <x:c r="C8" s="34" t="str">
        <x:v>标准化日常饮用</x:v>
      </x:c>
      <x:c r="D8" s="34" t="str">
        <x:v>瓶装原叶茶、无糖茶、低糖茶、气泡茶</x:v>
      </x:c>
      <x:c r="E8" s="34" t="str">
        <x:v>无糖茶饮市场规模</x:v>
      </x:c>
      <x:c r="F8" s="47" t="n">
        <x:v>600</x:v>
      </x:c>
      <x:c r="G8" s="34" t="str">
        <x:v>亿元左右</x:v>
      </x:c>
      <x:c r="H8" s="34" t="str">
        <x:v>2024</x:v>
      </x:c>
      <x:c r="I8" s="34" t="str">
        <x:v>全国</x:v>
      </x:c>
      <x:c r="J8" s="34" t="str">
        <x:v>总产量突破2000万吨</x:v>
      </x:c>
      <x:c r="K8" s="34" t="str">
        <x:v>无糖茶将茶叶风味、标准化生产和即开即饮结合，成为包装茶饮的重要增长方向。</x:v>
      </x:c>
      <x:c r="L8" s="34" t="str">
        <x:v>中国茶叶流通协会、新华网</x:v>
      </x:c>
      <x:c r="M8" s="34" t="str">
        <x:v>https://www.news.cn/food/20250403/762ed35936a64a34b43c08b0c836da2a/c.html</x:v>
      </x:c>
      <x:c r="N8" s="35" t="str">
        <x:v>协会公开约数</x:v>
      </x:c>
    </x:row>
    <x:row r="9" ht="60" customHeight="1">
      <x:c r="A9" s="33" t="str">
        <x:v>05</x:v>
      </x:c>
      <x:c r="B9" s="34" t="str">
        <x:v>茶食品</x:v>
      </x:c>
      <x:c r="C9" s="34" t="str">
        <x:v>从喝茶到吃茶</x:v>
      </x:c>
      <x:c r="D9" s="34" t="str">
        <x:v>抹茶烘焙、茶点、糖果、冰淇淋、复合调味</x:v>
      </x:c>
      <x:c r="E9" s="34" t="str">
        <x:v>浙江抹茶产量</x:v>
      </x:c>
      <x:c r="F9" s="47" t="n">
        <x:v>4200</x:v>
      </x:c>
      <x:c r="G9" s="34" t="str">
        <x:v>吨以上</x:v>
      </x:c>
      <x:c r="H9" s="34" t="str">
        <x:v>2023</x:v>
      </x:c>
      <x:c r="I9" s="34" t="str">
        <x:v>浙江省代表性案例</x:v>
      </x:c>
      <x:c r="J9" s="34" t="str">
        <x:v>产值突破6亿元</x:v>
      </x:c>
      <x:c r="K9" s="34" t="str">
        <x:v>抹茶能够直接进入烘焙、甜品和复合食品，是茶食品应用较具代表性的原料。</x:v>
      </x:c>
      <x:c r="L9" s="34" t="str">
        <x:v>福建日报</x:v>
      </x:c>
      <x:c r="M9" s="34" t="str">
        <x:v>https://www.fjdaily.com/app/content/2025-01/21/content_3060209.html</x:v>
      </x:c>
      <x:c r="N9" s="35" t="str">
        <x:v>区域案例，不代表全国茶食品市场</x:v>
      </x:c>
    </x:row>
    <x:row r="10" ht="60" customHeight="1">
      <x:c r="A10" s="36" t="str">
        <x:v>06</x:v>
      </x:c>
      <x:c r="B10" s="37" t="str">
        <x:v>精深应用</x:v>
      </x:c>
      <x:c r="C10" s="37" t="str">
        <x:v>从饮品到功能原料</x:v>
      </x:c>
      <x:c r="D10" s="37" t="str">
        <x:v>茶多酚、茶氨酸、茶色素、日化及保健应用</x:v>
      </x:c>
      <x:c r="E10" s="37" t="str">
        <x:v>茶叶提取物产量</x:v>
      </x:c>
      <x:c r="F10" s="48" t="n">
        <x:v>2.5</x:v>
      </x:c>
      <x:c r="G10" s="37" t="str">
        <x:v>万吨以上</x:v>
      </x:c>
      <x:c r="H10" s="37" t="str">
        <x:v>2017</x:v>
      </x:c>
      <x:c r="I10" s="37" t="str">
        <x:v>全国</x:v>
      </x:c>
      <x:c r="J10" s="37" t="str">
        <x:v>累计消耗茶叶原料约15万吨</x:v>
      </x:c>
      <x:c r="K10" s="37" t="str">
        <x:v>茶叶提取物进入功能饮料、食品、日化和健康产品，延伸了茶叶的产业链。</x:v>
      </x:c>
      <x:c r="L10" s="37" t="str">
        <x:v>人民周刊</x:v>
      </x:c>
      <x:c r="M10" s="37" t="str">
        <x:v>https://paper.people.com.cn/rmzk/html/2019-08/05/content_1939659.htm</x:v>
      </x:c>
      <x:c r="N10" s="38" t="str">
        <x:v>当前缺少更新且口径统一的全国公开值，保留数据年份</x:v>
      </x:c>
    </x:row>
    <x:row r="11" ht="60" customHeight="1"/>
    <x:row r="12" ht="60" customHeight="1">
      <x:c r="A12" s="49" t="str">
        <x:v>统一详情卡结构：表达类型＋代表产品＋核心数字＋指标名称＋年份/统计范围＋辅助数据＋一段解读＋来源。不同卡片的数据来自全国统计、细分行业统计或区域案例，只用于分别说明各类表达，不得制作六类数值对比图或排行榜。</x:v>
      </x:c>
      <x:c r="B12" s="49"/>
      <x:c r="C12" s="49"/>
      <x:c r="D12" s="49"/>
      <x:c r="E12" s="49"/>
      <x:c r="F12" s="49"/>
      <x:c r="G12" s="49"/>
      <x:c r="H12" s="49"/>
      <x:c r="I12" s="49"/>
      <x:c r="J12" s="49"/>
      <x:c r="K12" s="49"/>
      <x:c r="L12" s="49"/>
      <x:c r="M12" s="49"/>
      <x:c r="N12" s="49"/>
    </x:row>
  </x:sheetData>
  <x:mergeCells>
    <x:mergeCell ref="A1:N2"/>
    <x:mergeCell ref="A12:N1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6" hidden="0" customWidth="1"/>
    <x:col min="3" max="3" width="18" hidden="0" customWidth="1"/>
    <x:col min="4" max="4" width="13" hidden="0" customWidth="1"/>
    <x:col min="5" max="5" width="18" hidden="0" customWidth="1"/>
    <x:col min="6" max="6" width="13" hidden="0" customWidth="1"/>
    <x:col min="7" max="7" width="20" hidden="0" customWidth="1"/>
    <x:col min="8" max="8" width="13" hidden="0" customWidth="1"/>
    <x:col min="9" max="9" width="28" hidden="0" customWidth="1"/>
    <x:col min="10" max="10" width="27" hidden="0" customWidth="1"/>
    <x:col min="11" max="11" width="22" hidden="0" customWidth="1"/>
    <x:col min="12" max="12" width="48" hidden="0" customWidth="1"/>
    <x:col min="13" max="13" width="58" hidden="0" customWidth="1"/>
  </x:cols>
  <x:sheetData>
    <x:row r="1">
      <x:c r="A1" s="5" t="str">
        <x:v>中国茶叶内销趋势数据
图1使用2010—2024年内销量；图2使用2013—2024年内销额和均价</x:v>
      </x:c>
      <x:c r="B1" s="5" t="str">
        <x:v>中国茶叶内销趋势数据
图1使用2010—2024年内销量；图2使用2013—2024年内销额和均价</x:v>
      </x:c>
      <x:c r="C1" s="5" t="str">
        <x:v>中国茶叶内销趋势数据
图1使用2010—2024年内销量；图2使用2013—2024年内销额和均价</x:v>
      </x:c>
      <x:c r="D1" s="5" t="str">
        <x:v>中国茶叶内销趋势数据
图1使用2010—2024年内销量；图2使用2013—2024年内销额和均价</x:v>
      </x:c>
      <x:c r="E1" s="5" t="str">
        <x:v>中国茶叶内销趋势数据
图1使用2010—2024年内销量；图2使用2013—2024年内销额和均价</x:v>
      </x:c>
      <x:c r="F1" s="5" t="str">
        <x:v>中国茶叶内销趋势数据
图1使用2010—2024年内销量；图2使用2013—2024年内销额和均价</x:v>
      </x:c>
      <x:c r="G1" s="5" t="str">
        <x:v>中国茶叶内销趋势数据
图1使用2010—2024年内销量；图2使用2013—2024年内销额和均价</x:v>
      </x:c>
      <x:c r="H1" s="5" t="str">
        <x:v>中国茶叶内销趋势数据
图1使用2010—2024年内销量；图2使用2013—2024年内销额和均价</x:v>
      </x:c>
      <x:c r="I1" s="5" t="str">
        <x:v>中国茶叶内销趋势数据
图1使用2010—2024年内销量；图2使用2013—2024年内销额和均价</x:v>
      </x:c>
      <x:c r="J1" s="5" t="str">
        <x:v>中国茶叶内销趋势数据
图1使用2010—2024年内销量；图2使用2013—2024年内销额和均价</x:v>
      </x:c>
      <x:c r="K1" s="5" t="str">
        <x:v>中国茶叶内销趋势数据
图1使用2010—2024年内销量；图2使用2013—2024年内销额和均价</x:v>
      </x:c>
      <x:c r="L1" s="5" t="str">
        <x:v>中国茶叶内销趋势数据
图1使用2010—2024年内销量；图2使用2013—2024年内销额和均价</x:v>
      </x:c>
      <x:c r="M1" s="5" t="str">
        <x:v>中国茶叶内销趋势数据
图1使用2010—2024年内销量；图2使用2013—2024年内销额和均价</x:v>
      </x:c>
    </x:row>
    <x:row r="2">
      <x:c r="A2" s="5" t="str">
        <x:v>中国茶叶内销趋势数据
图1使用2010—2024年内销量；图2使用2013—2024年内销额和均价</x:v>
      </x:c>
      <x:c r="B2" s="5" t="str">
        <x:v>中国茶叶内销趋势数据
图1使用2010—2024年内销量；图2使用2013—2024年内销额和均价</x:v>
      </x:c>
      <x:c r="C2" s="5" t="str">
        <x:v>中国茶叶内销趋势数据
图1使用2010—2024年内销量；图2使用2013—2024年内销额和均价</x:v>
      </x:c>
      <x:c r="D2" s="5" t="str">
        <x:v>中国茶叶内销趋势数据
图1使用2010—2024年内销量；图2使用2013—2024年内销额和均价</x:v>
      </x:c>
      <x:c r="E2" s="5" t="str">
        <x:v>中国茶叶内销趋势数据
图1使用2010—2024年内销量；图2使用2013—2024年内销额和均价</x:v>
      </x:c>
      <x:c r="F2" s="5" t="str">
        <x:v>中国茶叶内销趋势数据
图1使用2010—2024年内销量；图2使用2013—2024年内销额和均价</x:v>
      </x:c>
      <x:c r="G2" s="5" t="str">
        <x:v>中国茶叶内销趋势数据
图1使用2010—2024年内销量；图2使用2013—2024年内销额和均价</x:v>
      </x:c>
      <x:c r="H2" s="5" t="str">
        <x:v>中国茶叶内销趋势数据
图1使用2010—2024年内销量；图2使用2013—2024年内销额和均价</x:v>
      </x:c>
      <x:c r="I2" s="5" t="str">
        <x:v>中国茶叶内销趋势数据
图1使用2010—2024年内销量；图2使用2013—2024年内销额和均价</x:v>
      </x:c>
      <x:c r="J2" s="5" t="str">
        <x:v>中国茶叶内销趋势数据
图1使用2010—2024年内销量；图2使用2013—2024年内销额和均价</x:v>
      </x:c>
      <x:c r="K2" s="5" t="str">
        <x:v>中国茶叶内销趋势数据
图1使用2010—2024年内销量；图2使用2013—2024年内销额和均价</x:v>
      </x:c>
      <x:c r="L2" s="5" t="str">
        <x:v>中国茶叶内销趋势数据
图1使用2010—2024年内销量；图2使用2013—2024年内销额和均价</x:v>
      </x:c>
      <x:c r="M2" s="5" t="str">
        <x:v>中国茶叶内销趋势数据
图1使用2010—2024年内销量；图2使用2013—2024年内销额和均价</x:v>
      </x:c>
    </x:row>
    <x:row r="4" ht="38" customHeight="1">
      <x:c r="A4" s="11" t="str">
        <x:v>年份</x:v>
      </x:c>
      <x:c r="B4" s="11" t="str">
        <x:v>内销量（万吨）</x:v>
      </x:c>
      <x:c r="C4" s="11" t="str">
        <x:v>内销量口径</x:v>
      </x:c>
      <x:c r="D4" s="11" t="str">
        <x:v>同比增速</x:v>
      </x:c>
      <x:c r="E4" s="11" t="str">
        <x:v>内销总额（亿元）</x:v>
      </x:c>
      <x:c r="F4" s="11" t="str">
        <x:v>总额同比</x:v>
      </x:c>
      <x:c r="G4" s="11" t="str">
        <x:v>平均单价（元/千克）</x:v>
      </x:c>
      <x:c r="H4" s="11" t="str">
        <x:v>均价同比</x:v>
      </x:c>
      <x:c r="I4" s="11" t="str">
        <x:v>图1标签</x:v>
      </x:c>
      <x:c r="J4" s="11" t="str">
        <x:v>图2金额标签</x:v>
      </x:c>
      <x:c r="K4" s="11" t="str">
        <x:v>图2均价标签</x:v>
      </x:c>
      <x:c r="L4" s="11" t="str">
        <x:v>来源说明</x:v>
      </x:c>
      <x:c r="M4" s="11" t="str">
        <x:v>来源URL</x:v>
      </x:c>
    </x:row>
    <x:row r="5" ht="38" customHeight="1">
      <x:c r="A5" s="30" t="n">
        <x:v>2010</x:v>
      </x:c>
      <x:c r="B5" s="50" t="n">
        <x:v>110</x:v>
      </x:c>
      <x:c r="C5" s="31" t="str">
        <x:v>约数</x:v>
      </x:c>
      <x:c r="D5" s="43"/>
      <x:c r="E5" s="50"/>
      <x:c r="F5" s="43"/>
      <x:c r="G5" s="50"/>
      <x:c r="H5" s="43"/>
      <x:c r="I5" s="31" t="str">
        <x:v>2010年｜≈110.00万吨</x:v>
      </x:c>
      <x:c r="J5" s="31" t="str">
        <x:v>—</x:v>
      </x:c>
      <x:c r="K5" s="31" t="str"/>
      <x:c r="L5" s="31" t="str">
        <x:v>2010年国内茶叶消费量约110万吨；未采用不可比零售额</x:v>
      </x:c>
      <x:c r="M5" s="32" t="str">
        <x:v>https://www.chinadaily.com.cn/dfpd/2011-09/22/content_13774068.htm</x:v>
      </x:c>
    </x:row>
    <x:row r="6" ht="38" customHeight="1">
      <x:c r="A6" s="33" t="n">
        <x:v>2011</x:v>
      </x:c>
      <x:c r="B6" s="51" t="n">
        <x:v>118</x:v>
      </x:c>
      <x:c r="C6" s="34" t="str">
        <x:v>约数</x:v>
      </x:c>
      <x:c r="D6" s="44" t="n">
        <x:f>B6/B5-1</x:f>
        <x:v>0.07272727272727275</x:v>
      </x:c>
      <x:c r="E6" s="51"/>
      <x:c r="F6" s="44"/>
      <x:c r="G6" s="51"/>
      <x:c r="H6" s="44"/>
      <x:c r="I6" s="34" t="str">
        <x:v>2011年｜≈118.00万吨</x:v>
      </x:c>
      <x:c r="J6" s="34" t="str">
        <x:v>—</x:v>
      </x:c>
      <x:c r="K6" s="34" t="str"/>
      <x:c r="L6" s="34" t="str">
        <x:v>公开报道为接近118万吨；未采用不可比零售额</x:v>
      </x:c>
      <x:c r="M6" s="35" t="str">
        <x:v>https://www.aticoc.com/cqdt/info.aspx?itemid=3154</x:v>
      </x:c>
    </x:row>
    <x:row r="7" ht="38" customHeight="1">
      <x:c r="A7" s="33" t="n">
        <x:v>2012</x:v>
      </x:c>
      <x:c r="B7" s="51" t="n">
        <x:v>130</x:v>
      </x:c>
      <x:c r="C7" s="34" t="str">
        <x:v>精确</x:v>
      </x:c>
      <x:c r="D7" s="44" t="n">
        <x:f>B7/B6-1</x:f>
        <x:v>0.10169491525423724</x:v>
      </x:c>
      <x:c r="E7" s="51"/>
      <x:c r="F7" s="44"/>
      <x:c r="G7" s="51"/>
      <x:c r="H7" s="44"/>
      <x:c r="I7" s="34" t="str">
        <x:v>2012年｜130.00万吨</x:v>
      </x:c>
      <x:c r="J7" s="34" t="str">
        <x:v>—</x:v>
      </x:c>
      <x:c r="K7" s="34" t="str"/>
      <x:c r="L7" s="34" t="str">
        <x:v>全国茶叶消费量130万吨；未采用不可比零售额</x:v>
      </x:c>
      <x:c r="M7" s="35" t="str">
        <x:v>https://www.hunan.gov.cn/szf/hnzb_18/2014_18/2014nd4q_18/szfbgtwj_98278_18/201403/t20140311_4700858.html</x:v>
      </x:c>
    </x:row>
    <x:row r="8" ht="38" customHeight="1">
      <x:c r="A8" s="33" t="n">
        <x:v>2013</x:v>
      </x:c>
      <x:c r="B8" s="51" t="n">
        <x:v>133.83</x:v>
      </x:c>
      <x:c r="C8" s="34" t="str">
        <x:v>推算</x:v>
      </x:c>
      <x:c r="D8" s="44" t="n">
        <x:f>B8/B7-1</x:f>
        <x:v>0.02946153846153865</x:v>
      </x:c>
      <x:c r="E8" s="51" t="n">
        <x:v>1380</x:v>
      </x:c>
      <x:c r="F8" s="44"/>
      <x:c r="G8" s="51" t="n">
        <x:f>E8*10/B8</x:f>
        <x:v>103.11589329746693</x:v>
      </x:c>
      <x:c r="H8" s="44"/>
      <x:c r="I8" s="34" t="str">
        <x:v>2013年｜≈133.83万吨</x:v>
      </x:c>
      <x:c r="J8" s="34" t="str">
        <x:v>1380.00亿元（约）</x:v>
      </x:c>
      <x:c r="K8" s="34" t="str">
        <x:f>TEXT(G8,"0.00")&amp;"元/千克"</x:f>
        <x:v>103.12元/千克</x:v>
      </x:c>
      <x:c r="L8" s="34" t="str">
        <x:v>内销量由2013—2023增量与增幅反推；销售额依据协会公开图表数字化</x:v>
      </x:c>
      <x:c r="M8" s="35" t="str">
        <x:v>https://www.abeedata.com/home/article/detail/id/25180 | https://www.ctma.com.cn/xiehuidongtai/72433.html</x:v>
      </x:c>
    </x:row>
    <x:row r="9" ht="38" customHeight="1">
      <x:c r="A9" s="33" t="n">
        <x:v>2014</x:v>
      </x:c>
      <x:c r="B9" s="51" t="n">
        <x:v>150.25</x:v>
      </x:c>
      <x:c r="C9" s="34" t="str">
        <x:v>精确</x:v>
      </x:c>
      <x:c r="D9" s="44" t="n">
        <x:f>B9/B8-1</x:f>
        <x:v>0.1226929686916236</x:v>
      </x:c>
      <x:c r="E9" s="51" t="n">
        <x:v>1660</x:v>
      </x:c>
      <x:c r="F9" s="44" t="n">
        <x:f>E9/E8-1</x:f>
        <x:v>0.2028985507246377</x:v>
      </x:c>
      <x:c r="G9" s="51" t="n">
        <x:f>E9*10/B9</x:f>
        <x:v>110.48252911813644</x:v>
      </x:c>
      <x:c r="H9" s="44" t="n">
        <x:f>G9/G8-1</x:f>
        <x:v>0.07144035303479712</x:v>
      </x:c>
      <x:c r="I9" s="34" t="str">
        <x:v>2014年｜150.25万吨</x:v>
      </x:c>
      <x:c r="J9" s="34" t="str">
        <x:v>1660.00亿元（约）</x:v>
      </x:c>
      <x:c r="K9" s="34" t="str">
        <x:f>TEXT(G9,"0.00")&amp;"元/千克"</x:f>
        <x:v>110.48元/千克</x:v>
      </x:c>
      <x:c r="L9" s="34" t="str">
        <x:v>内销量为公开统计；销售额依据协会公开图表数字化</x:v>
      </x:c>
      <x:c r="M9" s="35" t="str">
        <x:v>https://travel.china.com.cn/txt/2022-03/31/content_78141364.htm | https://www.ctma.com.cn/xiehuidongtai/72433.html</x:v>
      </x:c>
    </x:row>
    <x:row r="10" ht="38" customHeight="1">
      <x:c r="A10" s="33" t="n">
        <x:v>2015</x:v>
      </x:c>
      <x:c r="B10" s="51" t="n">
        <x:v>168</x:v>
      </x:c>
      <x:c r="C10" s="34" t="str">
        <x:v>约数/图表数字化</x:v>
      </x:c>
      <x:c r="D10" s="44" t="n">
        <x:f>B10/B9-1</x:f>
        <x:v>0.11813643926788675</x:v>
      </x:c>
      <x:c r="E10" s="51" t="n">
        <x:v>1870</x:v>
      </x:c>
      <x:c r="F10" s="44" t="n">
        <x:f>E10/E9-1</x:f>
        <x:v>0.12650602409638556</x:v>
      </x:c>
      <x:c r="G10" s="51" t="n">
        <x:f>E10*10/B10</x:f>
        <x:v>111.30952380952381</x:v>
      </x:c>
      <x:c r="H10" s="44" t="n">
        <x:f>G10/G9-1</x:f>
        <x:v>0.007485298336201929</x:v>
      </x:c>
      <x:c r="I10" s="34" t="str">
        <x:v>2015年｜≈168.00万吨</x:v>
      </x:c>
      <x:c r="J10" s="34" t="str">
        <x:v>1870.00亿元（约）</x:v>
      </x:c>
      <x:c r="K10" s="34" t="str">
        <x:f>TEXT(G10,"0.00")&amp;"元/千克"</x:f>
        <x:v>111.31元/千克</x:v>
      </x:c>
      <x:c r="L10" s="34" t="str">
        <x:v>内销量和销售额依据协会公开图表数字化，仅用于趋势展示</x:v>
      </x:c>
      <x:c r="M10" s="35" t="str">
        <x:v>https://www.ctma.com.cn/xiehuidongtai/72433.html</x:v>
      </x:c>
    </x:row>
    <x:row r="11" ht="38" customHeight="1">
      <x:c r="A11" s="33" t="n">
        <x:v>2016</x:v>
      </x:c>
      <x:c r="B11" s="51" t="n">
        <x:v>171.06</x:v>
      </x:c>
      <x:c r="C11" s="34" t="str">
        <x:v>精确</x:v>
      </x:c>
      <x:c r="D11" s="44" t="n">
        <x:f>B11/B10-1</x:f>
        <x:v>0.01821428571428574</x:v>
      </x:c>
      <x:c r="E11" s="51" t="n">
        <x:v>2148</x:v>
      </x:c>
      <x:c r="F11" s="44" t="n">
        <x:f>E11/E10-1</x:f>
        <x:v>0.1486631016042781</x:v>
      </x:c>
      <x:c r="G11" s="51" t="n">
        <x:f>E11*10/B11</x:f>
        <x:v>125.5699754472115</x:v>
      </x:c>
      <x:c r="H11" s="44" t="n">
        <x:f>G11/G10-1</x:f>
        <x:v>0.12811528744018896</x:v>
      </x:c>
      <x:c r="I11" s="34" t="str">
        <x:v>2016年｜171.06万吨</x:v>
      </x:c>
      <x:c r="J11" s="34" t="str">
        <x:v>2148.00亿元</x:v>
      </x:c>
      <x:c r="K11" s="34" t="str">
        <x:f>TEXT(G11,"0.00")&amp;"元/千克"</x:f>
        <x:v>125.57元/千克</x:v>
      </x:c>
      <x:c r="L11" s="34" t="str">
        <x:v>中国茶叶产销形势分析公开数据</x:v>
      </x:c>
      <x:c r="M11" s="35" t="str">
        <x:v>https://www.sciopen.com/local/article_pdf/10.15905/j.cnki.33-1157/ts.2022.02.004.pdf</x:v>
      </x:c>
    </x:row>
    <x:row r="12" ht="38" customHeight="1">
      <x:c r="A12" s="33" t="n">
        <x:v>2017</x:v>
      </x:c>
      <x:c r="B12" s="51" t="n">
        <x:v>181.7</x:v>
      </x:c>
      <x:c r="C12" s="34" t="str">
        <x:v>精确</x:v>
      </x:c>
      <x:c r="D12" s="44" t="n">
        <x:f>B12/B11-1</x:f>
        <x:v>0.062200397521337436</x:v>
      </x:c>
      <x:c r="E12" s="51" t="n">
        <x:v>2353</x:v>
      </x:c>
      <x:c r="F12" s="44" t="n">
        <x:f>E12/E11-1</x:f>
        <x:v>0.09543761638733717</x:v>
      </x:c>
      <x:c r="G12" s="51" t="n">
        <x:f>E12*10/B12</x:f>
        <x:v>129.49917446340123</x:v>
      </x:c>
      <x:c r="H12" s="44" t="n">
        <x:f>G12/G11-1</x:f>
        <x:v>0.03129091171831533</x:v>
      </x:c>
      <x:c r="I12" s="34" t="str">
        <x:v>2017年｜181.70万吨</x:v>
      </x:c>
      <x:c r="J12" s="34" t="str">
        <x:v>2353.00亿元</x:v>
      </x:c>
      <x:c r="K12" s="34" t="str">
        <x:f>TEXT(G12,"0.00")&amp;"元/千克"</x:f>
        <x:v>129.50元/千克</x:v>
      </x:c>
      <x:c r="L12" s="34" t="str">
        <x:v>商务部对外投资合作国别（地区）指南相关统计</x:v>
      </x:c>
      <x:c r="M12" s="35" t="str">
        <x:v>https://www.mofcom.gov.cn/cms_files/filemanager/ckzn/upload/2018ckcy.pdf</x:v>
      </x:c>
    </x:row>
    <x:row r="13" ht="38" customHeight="1">
      <x:c r="A13" s="33" t="n">
        <x:v>2018</x:v>
      </x:c>
      <x:c r="B13" s="51" t="n">
        <x:v>191.05</x:v>
      </x:c>
      <x:c r="C13" s="34" t="str">
        <x:v>精确</x:v>
      </x:c>
      <x:c r="D13" s="44" t="n">
        <x:f>B13/B12-1</x:f>
        <x:v>0.05145844799119437</x:v>
      </x:c>
      <x:c r="E13" s="51" t="n">
        <x:v>2661</x:v>
      </x:c>
      <x:c r="F13" s="44" t="n">
        <x:f>E13/E12-1</x:f>
        <x:v>0.13089672758181048</x:v>
      </x:c>
      <x:c r="G13" s="51" t="n">
        <x:f>E13*10/B13</x:f>
        <x:v>139.2829102329233</x:v>
      </x:c>
      <x:c r="H13" s="44" t="n">
        <x:f>G13/G12-1</x:f>
        <x:v>0.07555056478207223</x:v>
      </x:c>
      <x:c r="I13" s="34" t="str">
        <x:v>2018年｜191.05万吨</x:v>
      </x:c>
      <x:c r="J13" s="34" t="str">
        <x:v>2661.00亿元</x:v>
      </x:c>
      <x:c r="K13" s="34" t="str">
        <x:f>TEXT(G13,"0.00")&amp;"元/千克"</x:f>
        <x:v>139.28元/千克</x:v>
      </x:c>
      <x:c r="L13" s="34" t="str">
        <x:v>中国茶叶流通协会年度数据</x:v>
      </x:c>
      <x:c r="M13" s="35" t="str">
        <x:v>https://www.cnwinenews.com/html/2019/huaxiachashi_0605/117443.html</x:v>
      </x:c>
    </x:row>
    <x:row r="14" ht="38" customHeight="1">
      <x:c r="A14" s="33" t="n">
        <x:v>2019</x:v>
      </x:c>
      <x:c r="B14" s="51" t="n">
        <x:v>202.56</x:v>
      </x:c>
      <x:c r="C14" s="34" t="str">
        <x:v>精确</x:v>
      </x:c>
      <x:c r="D14" s="44" t="n">
        <x:f>B14/B13-1</x:f>
        <x:v>0.0602460088981942</x:v>
      </x:c>
      <x:c r="E14" s="51" t="n">
        <x:v>2739.5</x:v>
      </x:c>
      <x:c r="F14" s="44" t="n">
        <x:f>E14/E13-1</x:f>
        <x:v>0.02950018789928599</x:v>
      </x:c>
      <x:c r="G14" s="51" t="n">
        <x:f>E14*10/B14</x:f>
        <x:v>135.24387835703</x:v>
      </x:c>
      <x:c r="H14" s="44" t="n">
        <x:f>G14/G13-1</x:f>
        <x:v>-0.028998761363751013</x:v>
      </x:c>
      <x:c r="I14" s="34" t="str">
        <x:v>2019年｜202.56万吨</x:v>
      </x:c>
      <x:c r="J14" s="34" t="str">
        <x:v>2739.50亿元</x:v>
      </x:c>
      <x:c r="K14" s="34" t="str">
        <x:f>TEXT(G14,"0.00")&amp;"元/千克"</x:f>
        <x:v>135.24元/千克</x:v>
      </x:c>
      <x:c r="L14" s="34" t="str">
        <x:v>中国茶叶流通协会2019年度数据</x:v>
      </x:c>
      <x:c r="M14" s="35" t="str">
        <x:v>https://www.ctma.com.cn/hangyeyaowen/65252.html</x:v>
      </x:c>
    </x:row>
    <x:row r="15" ht="38" customHeight="1">
      <x:c r="A15" s="33" t="n">
        <x:v>2020</x:v>
      </x:c>
      <x:c r="B15" s="51" t="n">
        <x:v>220.16</x:v>
      </x:c>
      <x:c r="C15" s="34" t="str">
        <x:v>精确</x:v>
      </x:c>
      <x:c r="D15" s="44" t="n">
        <x:f>B15/B14-1</x:f>
        <x:v>0.08688783570300163</x:v>
      </x:c>
      <x:c r="E15" s="51" t="n">
        <x:v>2888.84</x:v>
      </x:c>
      <x:c r="F15" s="44" t="n">
        <x:f>E15/E14-1</x:f>
        <x:v>0.054513597371783185</x:v>
      </x:c>
      <x:c r="G15" s="51" t="n">
        <x:f>E15*10/B15</x:f>
        <x:v>131.2154796511628</x:v>
      </x:c>
      <x:c r="H15" s="44" t="n">
        <x:f>G15/G14-1</x:f>
        <x:v>-0.029786181487879593</x:v>
      </x:c>
      <x:c r="I15" s="34" t="str">
        <x:v>2020年｜220.16万吨</x:v>
      </x:c>
      <x:c r="J15" s="34" t="str">
        <x:v>2888.84亿元</x:v>
      </x:c>
      <x:c r="K15" s="34" t="str">
        <x:f>TEXT(G15,"0.00")&amp;"元/千克"</x:f>
        <x:v>131.22元/千克</x:v>
      </x:c>
      <x:c r="L15" s="34" t="str">
        <x:v>中国茶叶流通协会2021年报告披露的2020年度数据</x:v>
      </x:c>
      <x:c r="M15" s="35" t="str">
        <x:v>https://www.ctma.com.cn/xiehuidongtai/72433.html</x:v>
      </x:c>
    </x:row>
    <x:row r="16" ht="38" customHeight="1">
      <x:c r="A16" s="33" t="n">
        <x:v>2021</x:v>
      </x:c>
      <x:c r="B16" s="51" t="n">
        <x:v>230.19</x:v>
      </x:c>
      <x:c r="C16" s="34" t="str">
        <x:v>精确</x:v>
      </x:c>
      <x:c r="D16" s="44" t="n">
        <x:f>B16/B15-1</x:f>
        <x:v>0.045557776162790775</x:v>
      </x:c>
      <x:c r="E16" s="51" t="n">
        <x:v>3120</x:v>
      </x:c>
      <x:c r="F16" s="44" t="n">
        <x:f>E16/E15-1</x:f>
        <x:v>0.08001827723238386</x:v>
      </x:c>
      <x:c r="G16" s="51" t="n">
        <x:f>E16*10/B16</x:f>
        <x:v>135.5402059168513</x:v>
      </x:c>
      <x:c r="H16" s="44" t="n">
        <x:f>G16/G15-1</x:f>
        <x:v>0.03295896396664344</x:v>
      </x:c>
      <x:c r="I16" s="34" t="str">
        <x:v>2021年｜230.19万吨</x:v>
      </x:c>
      <x:c r="J16" s="34" t="str">
        <x:v>3120.00亿元</x:v>
      </x:c>
      <x:c r="K16" s="34" t="str">
        <x:f>TEXT(G16,"0.00")&amp;"元/千克"</x:f>
        <x:v>135.54元/千克</x:v>
      </x:c>
      <x:c r="L16" s="34" t="str">
        <x:v>年度茶叶内销数据</x:v>
      </x:c>
      <x:c r="M16" s="35" t="str">
        <x:v>https://m.ipucha.com/show-11-7757.html</x:v>
      </x:c>
    </x:row>
    <x:row r="17" ht="38" customHeight="1">
      <x:c r="A17" s="33" t="n">
        <x:v>2022</x:v>
      </x:c>
      <x:c r="B17" s="51" t="n">
        <x:v>239.75</x:v>
      </x:c>
      <x:c r="C17" s="34" t="str">
        <x:v>精确</x:v>
      </x:c>
      <x:c r="D17" s="44" t="n">
        <x:f>B17/B16-1</x:f>
        <x:v>0.041530909248881365</x:v>
      </x:c>
      <x:c r="E17" s="51" t="n">
        <x:v>3395.27</x:v>
      </x:c>
      <x:c r="F17" s="44" t="n">
        <x:f>E17/E16-1</x:f>
        <x:v>0.08822756410256405</x:v>
      </x:c>
      <x:c r="G17" s="51" t="n">
        <x:f>E17*10/B17</x:f>
        <x:v>141.61710114702814</x:v>
      </x:c>
      <x:c r="H17" s="44" t="n">
        <x:f>G17/G16-1</x:f>
        <x:v>0.04483463182802572</x:v>
      </x:c>
      <x:c r="I17" s="34" t="str">
        <x:v>2022年｜239.75万吨</x:v>
      </x:c>
      <x:c r="J17" s="34" t="str">
        <x:v>3395.27亿元</x:v>
      </x:c>
      <x:c r="K17" s="34" t="str">
        <x:f>TEXT(G17,"0.00")&amp;"元/千克"</x:f>
        <x:v>141.62元/千克</x:v>
      </x:c>
      <x:c r="L17" s="34" t="str">
        <x:v>2022年度茶叶内销数据</x:v>
      </x:c>
      <x:c r="M17" s="35" t="str">
        <x:v>https://bj.news.cn/20230602/a84263c1fc4641fbbbd03581ecfa0300/c.html</x:v>
      </x:c>
    </x:row>
    <x:row r="18" ht="38" customHeight="1">
      <x:c r="A18" s="33" t="n">
        <x:v>2023</x:v>
      </x:c>
      <x:c r="B18" s="51" t="n">
        <x:v>240.4</x:v>
      </x:c>
      <x:c r="C18" s="34" t="str">
        <x:v>精确</x:v>
      </x:c>
      <x:c r="D18" s="44" t="n">
        <x:f>B18/B17-1</x:f>
        <x:v>0.0027111574556830664</x:v>
      </x:c>
      <x:c r="E18" s="51" t="n">
        <x:v>3346.7</x:v>
      </x:c>
      <x:c r="F18" s="44" t="n">
        <x:f>E18/E17-1</x:f>
        <x:v>-0.01430519516857276</x:v>
      </x:c>
      <x:c r="G18" s="51" t="n">
        <x:f>E18*10/B18</x:f>
        <x:v>139.21381031613976</x:v>
      </x:c>
      <x:c r="H18" s="44" t="n">
        <x:f>G18/G17-1</x:f>
        <x:v>-0.016970343351353168</x:v>
      </x:c>
      <x:c r="I18" s="34" t="str">
        <x:v>2023年｜240.40万吨</x:v>
      </x:c>
      <x:c r="J18" s="34" t="str">
        <x:v>3346.70亿元</x:v>
      </x:c>
      <x:c r="K18" s="34" t="str">
        <x:f>TEXT(G18,"0.00")&amp;"元/千克"</x:f>
        <x:v>139.21元/千克</x:v>
      </x:c>
      <x:c r="L18" s="34" t="str">
        <x:v>中国茶叶流通协会年度调查数据</x:v>
      </x:c>
      <x:c r="M18" s="35" t="str">
        <x:v>https://www.ctma.com.cn/xxfb.html</x:v>
      </x:c>
    </x:row>
    <x:row r="19" ht="38" customHeight="1">
      <x:c r="A19" s="36" t="n">
        <x:v>2024</x:v>
      </x:c>
      <x:c r="B19" s="52" t="n">
        <x:v>241.27</x:v>
      </x:c>
      <x:c r="C19" s="37" t="str">
        <x:v>精确</x:v>
      </x:c>
      <x:c r="D19" s="45" t="n">
        <x:f>B19/B18-1</x:f>
        <x:v>0.003618968386023269</x:v>
      </x:c>
      <x:c r="E19" s="52" t="n">
        <x:v>3257.55</x:v>
      </x:c>
      <x:c r="F19" s="45" t="n">
        <x:f>E19/E18-1</x:f>
        <x:v>-0.02663818089461245</x:v>
      </x:c>
      <x:c r="G19" s="52" t="n">
        <x:f>E19*10/B19</x:f>
        <x:v>135.016786173167</x:v>
      </x:c>
      <x:c r="H19" s="45" t="n">
        <x:f>G19/G18-1</x:f>
        <x:v>-0.030148044460831636</x:v>
      </x:c>
      <x:c r="I19" s="37" t="str">
        <x:v>2024年｜241.27万吨</x:v>
      </x:c>
      <x:c r="J19" s="37" t="str">
        <x:v>3257.55亿元</x:v>
      </x:c>
      <x:c r="K19" s="37" t="str">
        <x:f>TEXT(G19,"0.00")&amp;"元/千克"</x:f>
        <x:v>135.02元/千克</x:v>
      </x:c>
      <x:c r="L19" s="37" t="str">
        <x:v>中国茶叶流通协会2024年度数据</x:v>
      </x:c>
      <x:c r="M19" s="38" t="str">
        <x:v>https://www.news.cn/food/20250403/762ed35936a64a34b43c08b0c836da2a/c.html</x:v>
      </x:c>
    </x:row>
    <x:row r="20" ht="38" customHeight="1"/>
    <x:row r="21" ht="38" customHeight="1">
      <x:c r="A21" s="41" t="str">
        <x:v>图1：tooltip只显示年份、内销量和来源简称，不出现“口径”字段；所有折线点使用同一茶绿色纯色实心圆点。图2仍可在图下注明2013—2015年为约数；2010—2012年总额留空，不画0。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</x:row>
  </x:sheetData>
  <x:mergeCells>
    <x:mergeCell ref="A1:M2"/>
    <x:mergeCell ref="A21:M2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15" hidden="0" customWidth="1"/>
    <x:col min="4" max="4" width="18" hidden="0" customWidth="1"/>
    <x:col min="5" max="5" width="15" hidden="0" customWidth="1"/>
    <x:col min="6" max="6" width="20" hidden="0" customWidth="1"/>
    <x:col min="7" max="7" width="45" hidden="0" customWidth="1"/>
    <x:col min="8" max="8" width="58" hidden="0" customWidth="1"/>
  </x:cols>
  <x:sheetData>
    <x:row r="1">
      <x:c r="A1" s="5" t="str">
        <x:v>中国茶叶线上交易规模变化数据
2016—2024年；2021年为公开数据缺口，必须保留断点</x:v>
      </x:c>
      <x:c r="B1" s="5" t="str">
        <x:v>中国茶叶线上交易规模变化数据
2016—2024年；2021年为公开数据缺口，必须保留断点</x:v>
      </x:c>
      <x:c r="C1" s="5" t="str">
        <x:v>中国茶叶线上交易规模变化数据
2016—2024年；2021年为公开数据缺口，必须保留断点</x:v>
      </x:c>
      <x:c r="D1" s="5" t="str">
        <x:v>中国茶叶线上交易规模变化数据
2016—2024年；2021年为公开数据缺口，必须保留断点</x:v>
      </x:c>
      <x:c r="E1" s="5" t="str">
        <x:v>中国茶叶线上交易规模变化数据
2016—2024年；2021年为公开数据缺口，必须保留断点</x:v>
      </x:c>
      <x:c r="F1" s="5" t="str">
        <x:v>中国茶叶线上交易规模变化数据
2016—2024年；2021年为公开数据缺口，必须保留断点</x:v>
      </x:c>
      <x:c r="G1" s="5" t="str">
        <x:v>中国茶叶线上交易规模变化数据
2016—2024年；2021年为公开数据缺口，必须保留断点</x:v>
      </x:c>
      <x:c r="H1" s="5" t="str">
        <x:v>中国茶叶线上交易规模变化数据
2016—2024年；2021年为公开数据缺口，必须保留断点</x:v>
      </x:c>
    </x:row>
    <x:row r="2">
      <x:c r="A2" s="5" t="str">
        <x:v>中国茶叶线上交易规模变化数据
2016—2024年；2021年为公开数据缺口，必须保留断点</x:v>
      </x:c>
      <x:c r="B2" s="5" t="str">
        <x:v>中国茶叶线上交易规模变化数据
2016—2024年；2021年为公开数据缺口，必须保留断点</x:v>
      </x:c>
      <x:c r="C2" s="5" t="str">
        <x:v>中国茶叶线上交易规模变化数据
2016—2024年；2021年为公开数据缺口，必须保留断点</x:v>
      </x:c>
      <x:c r="D2" s="5" t="str">
        <x:v>中国茶叶线上交易规模变化数据
2016—2024年；2021年为公开数据缺口，必须保留断点</x:v>
      </x:c>
      <x:c r="E2" s="5" t="str">
        <x:v>中国茶叶线上交易规模变化数据
2016—2024年；2021年为公开数据缺口，必须保留断点</x:v>
      </x:c>
      <x:c r="F2" s="5" t="str">
        <x:v>中国茶叶线上交易规模变化数据
2016—2024年；2021年为公开数据缺口，必须保留断点</x:v>
      </x:c>
      <x:c r="G2" s="5" t="str">
        <x:v>中国茶叶线上交易规模变化数据
2016—2024年；2021年为公开数据缺口，必须保留断点</x:v>
      </x:c>
      <x:c r="H2" s="5" t="str">
        <x:v>中国茶叶线上交易规模变化数据
2016—2024年；2021年为公开数据缺口，必须保留断点</x:v>
      </x:c>
    </x:row>
    <x:row r="4" ht="42" customHeight="1">
      <x:c r="A4" s="11" t="str">
        <x:v>年份</x:v>
      </x:c>
      <x:c r="B4" s="11" t="str">
        <x:v>线上交易额（亿元）</x:v>
      </x:c>
      <x:c r="C4" s="11" t="str">
        <x:v>数值口径</x:v>
      </x:c>
      <x:c r="D4" s="11" t="str">
        <x:v>前端显示值</x:v>
      </x:c>
      <x:c r="E4" s="11" t="str">
        <x:v>同比增速</x:v>
      </x:c>
      <x:c r="F4" s="11" t="str">
        <x:v>数据状态</x:v>
      </x:c>
      <x:c r="G4" s="11" t="str">
        <x:v>来源说明</x:v>
      </x:c>
      <x:c r="H4" s="11" t="str">
        <x:v>来源URL</x:v>
      </x:c>
    </x:row>
    <x:row r="5" ht="42" customHeight="1">
      <x:c r="A5" s="30" t="n">
        <x:v>2016</x:v>
      </x:c>
      <x:c r="B5" s="50" t="n">
        <x:v>148</x:v>
      </x:c>
      <x:c r="C5" s="31" t="str">
        <x:v>精确</x:v>
      </x:c>
      <x:c r="D5" s="31" t="str">
        <x:v>148亿元</x:v>
      </x:c>
      <x:c r="E5" s="43"/>
      <x:c r="F5" s="31" t="str">
        <x:v>可展示</x:v>
      </x:c>
      <x:c r="G5" s="31" t="str">
        <x:v>第三方行业图表汇总</x:v>
      </x:c>
      <x:c r="H5" s="32" t="str">
        <x:v>https://www.woshipm.com/it/5174895.html</x:v>
      </x:c>
    </x:row>
    <x:row r="6" ht="42" customHeight="1">
      <x:c r="A6" s="33" t="n">
        <x:v>2017</x:v>
      </x:c>
      <x:c r="B6" s="51" t="n">
        <x:v>175</x:v>
      </x:c>
      <x:c r="C6" s="34" t="str">
        <x:v>精确</x:v>
      </x:c>
      <x:c r="D6" s="34" t="str">
        <x:v>175亿元</x:v>
      </x:c>
      <x:c r="E6" s="44" t="n">
        <x:f>B6/B5-1</x:f>
        <x:v>0.18243243243243246</x:v>
      </x:c>
      <x:c r="F6" s="34" t="str">
        <x:v>可展示</x:v>
      </x:c>
      <x:c r="G6" s="34" t="str">
        <x:v>第三方行业图表汇总</x:v>
      </x:c>
      <x:c r="H6" s="35" t="str">
        <x:v>https://www.woshipm.com/it/5174895.html</x:v>
      </x:c>
    </x:row>
    <x:row r="7" ht="42" customHeight="1">
      <x:c r="A7" s="33" t="n">
        <x:v>2018</x:v>
      </x:c>
      <x:c r="B7" s="51" t="n">
        <x:v>205</x:v>
      </x:c>
      <x:c r="C7" s="34" t="str">
        <x:v>精确</x:v>
      </x:c>
      <x:c r="D7" s="34" t="str">
        <x:v>205亿元</x:v>
      </x:c>
      <x:c r="E7" s="44" t="n">
        <x:f>B7/B6-1</x:f>
        <x:v>0.17142857142857149</x:v>
      </x:c>
      <x:c r="F7" s="34" t="str">
        <x:v>可展示</x:v>
      </x:c>
      <x:c r="G7" s="34" t="str">
        <x:v>第三方行业图表汇总</x:v>
      </x:c>
      <x:c r="H7" s="35" t="str">
        <x:v>https://www.woshipm.com/it/5174895.html</x:v>
      </x:c>
    </x:row>
    <x:row r="8" ht="42" customHeight="1">
      <x:c r="A8" s="33" t="n">
        <x:v>2019</x:v>
      </x:c>
      <x:c r="B8" s="51" t="n">
        <x:v>243</x:v>
      </x:c>
      <x:c r="C8" s="34" t="str">
        <x:v>精确</x:v>
      </x:c>
      <x:c r="D8" s="34" t="str">
        <x:v>243亿元</x:v>
      </x:c>
      <x:c r="E8" s="44" t="n">
        <x:f>B8/B7-1</x:f>
        <x:v>0.18536585365853653</x:v>
      </x:c>
      <x:c r="F8" s="34" t="str">
        <x:v>可展示</x:v>
      </x:c>
      <x:c r="G8" s="34" t="str">
        <x:v>第三方行业图表汇总</x:v>
      </x:c>
      <x:c r="H8" s="35" t="str">
        <x:v>https://www.woshipm.com/it/5174895.html</x:v>
      </x:c>
    </x:row>
    <x:row r="9" ht="42" customHeight="1">
      <x:c r="A9" s="33" t="n">
        <x:v>2020</x:v>
      </x:c>
      <x:c r="B9" s="51" t="n">
        <x:v>280</x:v>
      </x:c>
      <x:c r="C9" s="34" t="str">
        <x:v>约数</x:v>
      </x:c>
      <x:c r="D9" s="34" t="str">
        <x:v>≈280亿元</x:v>
      </x:c>
      <x:c r="E9" s="44" t="n">
        <x:f>B9/B8-1</x:f>
        <x:v>0.1522633744855968</x:v>
      </x:c>
      <x:c r="F9" s="34" t="str">
        <x:v>可展示</x:v>
      </x:c>
      <x:c r="G9" s="34" t="str">
        <x:v>协会报告与行业图表均显示约280亿元</x:v>
      </x:c>
      <x:c r="H9" s="35" t="str">
        <x:v>https://www.ctma.com.cn/xiehuidongtai/72433.html</x:v>
      </x:c>
    </x:row>
    <x:row r="10" ht="42" customHeight="1">
      <x:c r="A10" s="33" t="n">
        <x:v>2021</x:v>
      </x:c>
      <x:c r="B10" s="51"/>
      <x:c r="C10" s="34" t="str">
        <x:v>缺失</x:v>
      </x:c>
      <x:c r="D10" s="34" t="str">
        <x:v>—</x:v>
      </x:c>
      <x:c r="E10" s="44"/>
      <x:c r="F10" s="34" t="str">
        <x:v>缺失，不插值</x:v>
      </x:c>
      <x:c r="G10" s="34" t="str">
        <x:v>未找到与前后口径一致的公开值，页面必须保留断点，不得插值</x:v>
      </x:c>
      <x:c r="H10" s="35" t="str"/>
    </x:row>
    <x:row r="11" ht="42" customHeight="1">
      <x:c r="A11" s="33" t="n">
        <x:v>2022</x:v>
      </x:c>
      <x:c r="B11" s="51" t="n">
        <x:v>330</x:v>
      </x:c>
      <x:c r="C11" s="34" t="str">
        <x:v>下限</x:v>
      </x:c>
      <x:c r="D11" s="34" t="str">
        <x:v>&gt;330亿元</x:v>
      </x:c>
      <x:c r="E11" s="44"/>
      <x:c r="F11" s="34" t="str">
        <x:v>可展示</x:v>
      </x:c>
      <x:c r="G11" s="34" t="str">
        <x:v>协会表述为超过330亿元；图表可用330并标注“&gt;”</x:v>
      </x:c>
      <x:c r="H11" s="35" t="str">
        <x:v>https://www.ctma.com.cn/hangyeyaowen/77981.html</x:v>
      </x:c>
    </x:row>
    <x:row r="12" ht="42" customHeight="1">
      <x:c r="A12" s="33" t="n">
        <x:v>2023</x:v>
      </x:c>
      <x:c r="B12" s="51" t="n">
        <x:v>350</x:v>
      </x:c>
      <x:c r="C12" s="34" t="str">
        <x:v>下限</x:v>
      </x:c>
      <x:c r="D12" s="34" t="str">
        <x:v>&gt;350亿元</x:v>
      </x:c>
      <x:c r="E12" s="44"/>
      <x:c r="F12" s="34" t="str">
        <x:v>可展示</x:v>
      </x:c>
      <x:c r="G12" s="34" t="str">
        <x:v>协会表述为超过350亿元；图表可用350并标注“&gt;”</x:v>
      </x:c>
      <x:c r="H12" s="35" t="str">
        <x:v>https://www.ctma.com.cn/hangyeyaowen/77981.html</x:v>
      </x:c>
    </x:row>
    <x:row r="13" ht="42" customHeight="1">
      <x:c r="A13" s="36" t="n">
        <x:v>2024</x:v>
      </x:c>
      <x:c r="B13" s="52" t="n">
        <x:v>370</x:v>
      </x:c>
      <x:c r="C13" s="37" t="str">
        <x:v>约数</x:v>
      </x:c>
      <x:c r="D13" s="37" t="str">
        <x:v>≈370亿元</x:v>
      </x:c>
      <x:c r="E13" s="45" t="n">
        <x:f>B13/B12-1</x:f>
        <x:v>0.05714285714285716</x:v>
      </x:c>
      <x:c r="F13" s="37" t="str">
        <x:v>可展示</x:v>
      </x:c>
      <x:c r="G13" s="37" t="str">
        <x:v>协会表述为约370亿元</x:v>
      </x:c>
      <x:c r="H13" s="38" t="str">
        <x:v>https://www.ctma.com.cn/xiehuidongtai/80691.html</x:v>
      </x:c>
    </x:row>
    <x:row r="14" ht="42" customHeight="1"/>
    <x:row r="15" ht="42" customHeight="1">
      <x:c r="A15" s="41" t="str">
        <x:v>图3：tooltip只显示年份和线上交易额，不出现“口径”字段；2021年保留空柱/断点并标注“数据缺失”；所有有数值年份（包括2020和2024）采用同一种茶绿色柱体，不做特殊高亮；删除图下原有趋势解释段落。</x:v>
      </x:c>
      <x:c r="B15" s="41"/>
      <x:c r="C15" s="41"/>
      <x:c r="D15" s="41"/>
      <x:c r="E15" s="41"/>
      <x:c r="F15" s="41"/>
      <x:c r="G15" s="41"/>
      <x:c r="H15" s="41"/>
    </x:row>
  </x:sheetData>
  <x:mergeCells>
    <x:mergeCell ref="A1:H2"/>
    <x:mergeCell ref="A15:H1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5" hidden="0" customWidth="1"/>
    <x:col min="3" max="3" width="25" hidden="0" customWidth="1"/>
    <x:col min="4" max="4" width="17" hidden="0" customWidth="1"/>
    <x:col min="5" max="5" width="17" hidden="0" customWidth="1"/>
    <x:col min="6" max="6" width="19" hidden="0" customWidth="1"/>
    <x:col min="7" max="7" width="17" hidden="0" customWidth="1"/>
    <x:col min="8" max="8" width="17" hidden="0" customWidth="1"/>
    <x:col min="9" max="9" width="53" hidden="0" customWidth="1"/>
    <x:col min="10" max="10" width="28" hidden="0" customWidth="1"/>
  </x:cols>
  <x:sheetData>
    <x:row r="1">
      <x:c r="A1" s="5" t="str">
        <x:v>三阶段读图
通过阶段指标与叙事补足页面层次，避免只展示稀疏折线</x:v>
      </x:c>
      <x:c r="B1" s="5" t="str">
        <x:v>三阶段读图
通过阶段指标与叙事补足页面层次，避免只展示稀疏折线</x:v>
      </x:c>
      <x:c r="C1" s="5" t="str">
        <x:v>三阶段读图
通过阶段指标与叙事补足页面层次，避免只展示稀疏折线</x:v>
      </x:c>
      <x:c r="D1" s="5" t="str">
        <x:v>三阶段读图
通过阶段指标与叙事补足页面层次，避免只展示稀疏折线</x:v>
      </x:c>
      <x:c r="E1" s="5" t="str">
        <x:v>三阶段读图
通过阶段指标与叙事补足页面层次，避免只展示稀疏折线</x:v>
      </x:c>
      <x:c r="F1" s="5" t="str">
        <x:v>三阶段读图
通过阶段指标与叙事补足页面层次，避免只展示稀疏折线</x:v>
      </x:c>
      <x:c r="G1" s="5" t="str">
        <x:v>三阶段读图
通过阶段指标与叙事补足页面层次，避免只展示稀疏折线</x:v>
      </x:c>
      <x:c r="H1" s="5" t="str">
        <x:v>三阶段读图
通过阶段指标与叙事补足页面层次，避免只展示稀疏折线</x:v>
      </x:c>
      <x:c r="I1" s="5" t="str">
        <x:v>三阶段读图
通过阶段指标与叙事补足页面层次，避免只展示稀疏折线</x:v>
      </x:c>
      <x:c r="J1" s="5" t="str">
        <x:v>三阶段读图
通过阶段指标与叙事补足页面层次，避免只展示稀疏折线</x:v>
      </x:c>
    </x:row>
    <x:row r="2">
      <x:c r="A2" s="5" t="str">
        <x:v>三阶段读图
通过阶段指标与叙事补足页面层次，避免只展示稀疏折线</x:v>
      </x:c>
      <x:c r="B2" s="5" t="str">
        <x:v>三阶段读图
通过阶段指标与叙事补足页面层次，避免只展示稀疏折线</x:v>
      </x:c>
      <x:c r="C2" s="5" t="str">
        <x:v>三阶段读图
通过阶段指标与叙事补足页面层次，避免只展示稀疏折线</x:v>
      </x:c>
      <x:c r="D2" s="5" t="str">
        <x:v>三阶段读图
通过阶段指标与叙事补足页面层次，避免只展示稀疏折线</x:v>
      </x:c>
      <x:c r="E2" s="5" t="str">
        <x:v>三阶段读图
通过阶段指标与叙事补足页面层次，避免只展示稀疏折线</x:v>
      </x:c>
      <x:c r="F2" s="5" t="str">
        <x:v>三阶段读图
通过阶段指标与叙事补足页面层次，避免只展示稀疏折线</x:v>
      </x:c>
      <x:c r="G2" s="5" t="str">
        <x:v>三阶段读图
通过阶段指标与叙事补足页面层次，避免只展示稀疏折线</x:v>
      </x:c>
      <x:c r="H2" s="5" t="str">
        <x:v>三阶段读图
通过阶段指标与叙事补足页面层次，避免只展示稀疏折线</x:v>
      </x:c>
      <x:c r="I2" s="5" t="str">
        <x:v>三阶段读图
通过阶段指标与叙事补足页面层次，避免只展示稀疏折线</x:v>
      </x:c>
      <x:c r="J2" s="5" t="str">
        <x:v>三阶段读图
通过阶段指标与叙事补足页面层次，避免只展示稀疏折线</x:v>
      </x:c>
    </x:row>
    <x:row r="4" ht="56" customHeight="1">
      <x:c r="A4" s="11" t="str">
        <x:v>阶段</x:v>
      </x:c>
      <x:c r="B4" s="11" t="str">
        <x:v>时间</x:v>
      </x:c>
      <x:c r="C4" s="11" t="str">
        <x:v>阶段命名</x:v>
      </x:c>
      <x:c r="D4" s="11" t="str">
        <x:v>期初内销量</x:v>
      </x:c>
      <x:c r="E4" s="11" t="str">
        <x:v>期末内销量</x:v>
      </x:c>
      <x:c r="F4" s="11" t="str">
        <x:v>内销量复合增速</x:v>
      </x:c>
      <x:c r="G4" s="11" t="str">
        <x:v>期初内销额</x:v>
      </x:c>
      <x:c r="H4" s="11" t="str">
        <x:v>期末内销额</x:v>
      </x:c>
      <x:c r="I4" s="11" t="str">
        <x:v>读图结论</x:v>
      </x:c>
      <x:c r="J4" s="11" t="str">
        <x:v>页面呈现</x:v>
      </x:c>
    </x:row>
    <x:row r="5" ht="56" customHeight="1">
      <x:c r="A5" s="30" t="str">
        <x:v>P1</x:v>
      </x:c>
      <x:c r="B5" s="31" t="str">
        <x:v>2010—2014</x:v>
      </x:c>
      <x:c r="C5" s="31" t="str">
        <x:v>规模扩张</x:v>
      </x:c>
      <x:c r="D5" s="50" t="n">
        <x:v>110</x:v>
      </x:c>
      <x:c r="E5" s="50" t="n">
        <x:v>150.25</x:v>
      </x:c>
      <x:c r="F5" s="43" t="n">
        <x:f>(E5/D5)^(1/4)-1</x:f>
        <x:v>0.0810740653589952</x:v>
      </x:c>
      <x:c r="G5" s="50"/>
      <x:c r="H5" s="50" t="n">
        <x:v>1660</x:v>
      </x:c>
      <x:c r="I5" s="31" t="str">
        <x:v>内销量由约110增至150.25万吨，规模快速扩张；早期总额口径不完整，因此不做量价强比较。</x:v>
      </x:c>
      <x:c r="J5" s="32" t="str">
        <x:v>阶段色带＋8.1%增速徽标</x:v>
      </x:c>
    </x:row>
    <x:row r="6" ht="56" customHeight="1">
      <x:c r="A6" s="33" t="str">
        <x:v>P2</x:v>
      </x:c>
      <x:c r="B6" s="34" t="str">
        <x:v>2015—2019</x:v>
      </x:c>
      <x:c r="C6" s="34" t="str">
        <x:v>价值提升与电商萌芽</x:v>
      </x:c>
      <x:c r="D6" s="51" t="n">
        <x:v>168</x:v>
      </x:c>
      <x:c r="E6" s="51" t="n">
        <x:v>202.56</x:v>
      </x:c>
      <x:c r="F6" s="44" t="n">
        <x:f>(E6/D6)^(1/4)-1</x:f>
        <x:v>0.04787891477636541</x:v>
      </x:c>
      <x:c r="G6" s="51" t="n">
        <x:v>1870</x:v>
      </x:c>
      <x:c r="H6" s="51" t="n">
        <x:v>2739.5</x:v>
      </x:c>
      <x:c r="I6" s="34" t="str">
        <x:v>内销量继续上行，内销额约由1870增至2739.5亿元；电商开始成为可见渠道。</x:v>
      </x:c>
      <x:c r="J6" s="35" t="str">
        <x:v>阶段卡＋量/额双指标</x:v>
      </x:c>
    </x:row>
    <x:row r="7" ht="56" customHeight="1">
      <x:c r="A7" s="36" t="str">
        <x:v>P3</x:v>
      </x:c>
      <x:c r="B7" s="37" t="str">
        <x:v>2020—2024</x:v>
      </x:c>
      <x:c r="C7" s="37" t="str">
        <x:v>场景分化与理性调整</x:v>
      </x:c>
      <x:c r="D7" s="52" t="n">
        <x:v>220.16</x:v>
      </x:c>
      <x:c r="E7" s="52" t="n">
        <x:v>241.27</x:v>
      </x:c>
      <x:c r="F7" s="45" t="n">
        <x:f>(E7/D7)^(1/4)-1</x:f>
        <x:v>0.023154519377503124</x:v>
      </x:c>
      <x:c r="G7" s="52" t="n">
        <x:v>2888.84</x:v>
      </x:c>
      <x:c r="H7" s="52" t="n">
        <x:v>3257.55</x:v>
      </x:c>
      <x:c r="I7" s="37" t="str">
        <x:v>内销量仍增但复合增速降至约2.3%；总额2022年见顶后回落，市场转向场景与产品结构竞争。</x:v>
      </x:c>
      <x:c r="J7" s="38" t="str">
        <x:v>阶段卡＋2022转折标记</x:v>
      </x:c>
    </x:row>
    <x:row r="8" ht="56" customHeight="1"/>
    <x:row r="9" ht="56" customHeight="1">
      <x:c r="A9" s="49" t="str">
        <x:v>分析写法：先陈述数据，再解释变化，最后连接产品表达。避免使用“消费升级、年轻化”等无法由本页数据直接证明的断言；可改写为“产品和场景更分化”。</x:v>
      </x:c>
      <x:c r="B9" s="49"/>
      <x:c r="C9" s="49"/>
      <x:c r="D9" s="49"/>
      <x:c r="E9" s="49"/>
      <x:c r="F9" s="49"/>
      <x:c r="G9" s="49"/>
      <x:c r="H9" s="49"/>
      <x:c r="I9" s="49"/>
      <x:c r="J9" s="49"/>
    </x:row>
  </x:sheetData>
  <x:mergeCells>
    <x:mergeCell ref="A1:J2"/>
    <x:mergeCell ref="A9:J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5" hidden="0" customWidth="1"/>
    <x:col min="3" max="3" width="22" hidden="0" customWidth="1"/>
    <x:col min="4" max="4" width="20" hidden="0" customWidth="1"/>
    <x:col min="5" max="5" width="40" hidden="0" customWidth="1"/>
    <x:col min="6" max="6" width="32" hidden="0" customWidth="1"/>
  </x:cols>
  <x:sheetData>
    <x:row r="1">
      <x:c r="A1" s="5" t="str">
        <x:v>字段与数据质量说明
用于Agent转换数据及页面tooltip/注释</x:v>
      </x:c>
      <x:c r="B1" s="5" t="str">
        <x:v>字段与数据质量说明
用于Agent转换数据及页面tooltip/注释</x:v>
      </x:c>
      <x:c r="C1" s="5" t="str">
        <x:v>字段与数据质量说明
用于Agent转换数据及页面tooltip/注释</x:v>
      </x:c>
      <x:c r="D1" s="5" t="str">
        <x:v>字段与数据质量说明
用于Agent转换数据及页面tooltip/注释</x:v>
      </x:c>
      <x:c r="E1" s="5" t="str">
        <x:v>字段与数据质量说明
用于Agent转换数据及页面tooltip/注释</x:v>
      </x:c>
      <x:c r="F1" s="5" t="str">
        <x:v>字段与数据质量说明
用于Agent转换数据及页面tooltip/注释</x:v>
      </x:c>
    </x:row>
    <x:row r="2">
      <x:c r="A2" s="5" t="str">
        <x:v>字段与数据质量说明
用于Agent转换数据及页面tooltip/注释</x:v>
      </x:c>
      <x:c r="B2" s="5" t="str">
        <x:v>字段与数据质量说明
用于Agent转换数据及页面tooltip/注释</x:v>
      </x:c>
      <x:c r="C2" s="5" t="str">
        <x:v>字段与数据质量说明
用于Agent转换数据及页面tooltip/注释</x:v>
      </x:c>
      <x:c r="D2" s="5" t="str">
        <x:v>字段与数据质量说明
用于Agent转换数据及页面tooltip/注释</x:v>
      </x:c>
      <x:c r="E2" s="5" t="str">
        <x:v>字段与数据质量说明
用于Agent转换数据及页面tooltip/注释</x:v>
      </x:c>
      <x:c r="F2" s="5" t="str">
        <x:v>字段与数据质量说明
用于Agent转换数据及页面tooltip/注释</x:v>
      </x:c>
    </x:row>
    <x:row r="4" ht="43" customHeight="1">
      <x:c r="A4" s="11" t="str">
        <x:v>字段/标记</x:v>
      </x:c>
      <x:c r="B4" s="11" t="str">
        <x:v>含义</x:v>
      </x:c>
      <x:c r="C4" s="11" t="str">
        <x:v>页面显示</x:v>
      </x:c>
      <x:c r="D4" s="11" t="str">
        <x:v>是否可计算</x:v>
      </x:c>
      <x:c r="E4" s="11" t="str">
        <x:v>处理规则</x:v>
      </x:c>
      <x:c r="F4" s="11" t="str">
        <x:v>示例</x:v>
      </x:c>
    </x:row>
    <x:row r="5" ht="43" customHeight="1">
      <x:c r="A5" s="30" t="str">
        <x:v>精确</x:v>
      </x:c>
      <x:c r="B5" s="31" t="str">
        <x:v>来源给出明确数值</x:v>
      </x:c>
      <x:c r="C5" s="31" t="str">
        <x:v>直接显示</x:v>
      </x:c>
      <x:c r="D5" s="31" t="str">
        <x:v>是</x:v>
      </x:c>
      <x:c r="E5" s="31" t="str">
        <x:v>保留表中精度</x:v>
      </x:c>
      <x:c r="F5" s="32" t="str">
        <x:v>241.27万吨</x:v>
      </x:c>
    </x:row>
    <x:row r="6" ht="43" customHeight="1">
      <x:c r="A6" s="33" t="str">
        <x:v>约数</x:v>
      </x:c>
      <x:c r="B6" s="34" t="str">
        <x:v>来源使用约、接近，或图表读取</x:v>
      </x:c>
      <x:c r="C6" s="34" t="str">
        <x:v>加≈或“约”</x:v>
      </x:c>
      <x:c r="D6" s="34" t="str">
        <x:v>可用于趋势，慎用于精密比较</x:v>
      </x:c>
      <x:c r="E6" s="34" t="str">
        <x:v>保留在数据表；图1、图3 tooltip不显示“口径”字段</x:v>
      </x:c>
      <x:c r="F6" s="35" t="str">
        <x:v>≈370亿元</x:v>
      </x:c>
    </x:row>
    <x:row r="7" ht="43" customHeight="1">
      <x:c r="A7" s="33" t="str">
        <x:v>推算</x:v>
      </x:c>
      <x:c r="B7" s="34" t="str">
        <x:v>由公开增量与增幅反推</x:v>
      </x:c>
      <x:c r="C7" s="34" t="str">
        <x:v>加“推算”</x:v>
      </x:c>
      <x:c r="D7" s="34" t="str">
        <x:v>可用于趋势</x:v>
      </x:c>
      <x:c r="E7" s="34" t="str">
        <x:v>不得改写为官方精确值</x:v>
      </x:c>
      <x:c r="F7" s="35" t="str">
        <x:v>2013内销量133.83万吨</x:v>
      </x:c>
    </x:row>
    <x:row r="8" ht="43" customHeight="1">
      <x:c r="A8" s="33" t="str">
        <x:v>下限</x:v>
      </x:c>
      <x:c r="B8" s="34" t="str">
        <x:v>来源使用“超过”</x:v>
      </x:c>
      <x:c r="C8" s="34" t="str">
        <x:v>加&gt;</x:v>
      </x:c>
      <x:c r="D8" s="34" t="str">
        <x:v>可用于趋势，不用于精确同比</x:v>
      </x:c>
      <x:c r="E8" s="34" t="str">
        <x:v>用&gt;符号表达；图3 tooltip不另列“口径”</x:v>
      </x:c>
      <x:c r="F8" s="35" t="str">
        <x:v>&gt;350亿元</x:v>
      </x:c>
    </x:row>
    <x:row r="9" ht="43" customHeight="1">
      <x:c r="A9" s="33" t="str">
        <x:v>缺失</x:v>
      </x:c>
      <x:c r="B9" s="34" t="str">
        <x:v>未找到可比公开数值</x:v>
      </x:c>
      <x:c r="C9" s="34" t="str">
        <x:v>显示—或断点</x:v>
      </x:c>
      <x:c r="D9" s="34" t="str">
        <x:v>否</x:v>
      </x:c>
      <x:c r="E9" s="34" t="str">
        <x:v>禁止插值、禁止写0</x:v>
      </x:c>
      <x:c r="F9" s="35" t="str">
        <x:v>2021线上交易额</x:v>
      </x:c>
    </x:row>
    <x:row r="10" ht="43" customHeight="1">
      <x:c r="A10" s="33" t="str">
        <x:v>平均单价</x:v>
      </x:c>
      <x:c r="B10" s="34" t="str">
        <x:v>由内销额和内销量计算</x:v>
      </x:c>
      <x:c r="C10" s="34" t="str">
        <x:v>元/千克</x:v>
      </x:c>
      <x:c r="D10" s="34" t="str">
        <x:v>是</x:v>
      </x:c>
      <x:c r="E10" s="34" t="str">
        <x:v>公式：亿元×10÷万吨</x:v>
      </x:c>
      <x:c r="F10" s="35" t="str">
        <x:v>2024约135.01元/千克</x:v>
      </x:c>
    </x:row>
    <x:row r="11" ht="43" customHeight="1">
      <x:c r="A11" s="33" t="str">
        <x:v>同比增速</x:v>
      </x:c>
      <x:c r="B11" s="34" t="str">
        <x:v>当年相对上年的变化</x:v>
      </x:c>
      <x:c r="C11" s="34" t="str">
        <x:v>%</x:v>
      </x:c>
      <x:c r="D11" s="34" t="str">
        <x:v>是</x:v>
      </x:c>
      <x:c r="E11" s="34" t="str">
        <x:v>缺失或口径不连续时留空</x:v>
      </x:c>
      <x:c r="F11" s="35" t="str">
        <x:v>(本年/上年)-1</x:v>
      </x:c>
    </x:row>
    <x:row r="12" ht="43" customHeight="1">
      <x:c r="A12" s="33" t="str">
        <x:v>CAGR</x:v>
      </x:c>
      <x:c r="B12" s="34" t="str">
        <x:v>阶段复合增长率</x:v>
      </x:c>
      <x:c r="C12" s="34" t="str">
        <x:v>%</x:v>
      </x:c>
      <x:c r="D12" s="34" t="str">
        <x:v>是</x:v>
      </x:c>
      <x:c r="E12" s="34" t="str">
        <x:v>公式：(期末/期初)^(1/年数)-1</x:v>
      </x:c>
      <x:c r="F12" s="35" t="str">
        <x:v>2010—2014约8.1%</x:v>
      </x:c>
    </x:row>
    <x:row r="13" ht="43" customHeight="1">
      <x:c r="A13" s="33" t="str">
        <x:v>统计范围</x:v>
      </x:c>
      <x:c r="B13" s="34" t="str">
        <x:v>数字对应的地域、行业或样本边界</x:v>
      </x:c>
      <x:c r="C13" s="34" t="str">
        <x:v>年份旁的小标签</x:v>
      </x:c>
      <x:c r="D13" s="34" t="str">
        <x:v>否</x:v>
      </x:c>
      <x:c r="E13" s="34" t="str">
        <x:v>必须随六种新表达详情卡展示</x:v>
      </x:c>
      <x:c r="F13" s="35" t="str">
        <x:v>全国/全国线上市场/浙江案例</x:v>
      </x:c>
    </x:row>
    <x:row r="14" ht="43" customHeight="1">
      <x:c r="A14" s="33" t="str">
        <x:v>辅助数据</x:v>
      </x:c>
      <x:c r="B14" s="34" t="str">
        <x:v>帮助解释核心数字的第二项证据</x:v>
      </x:c>
      <x:c r="C14" s="34" t="str">
        <x:v>核心数字下方一行</x:v>
      </x:c>
      <x:c r="D14" s="34" t="str">
        <x:v>视字段而定</x:v>
      </x:c>
      <x:c r="E14" s="34" t="str">
        <x:v>不得替代核心指标或脱离年份</x:v>
      </x:c>
      <x:c r="F14" s="35" t="str">
        <x:v>内销总额3257.55亿元</x:v>
      </x:c>
    </x:row>
    <x:row r="15" ht="43" customHeight="1">
      <x:c r="A15" s="36" t="str">
        <x:v>代表性案例</x:v>
      </x:c>
      <x:c r="B15" s="37" t="str">
        <x:v>用于全国细分统计缺失时说明一种应用</x:v>
      </x:c>
      <x:c r="C15" s="37" t="str">
        <x:v>明确标注区域</x:v>
      </x:c>
      <x:c r="D15" s="37" t="str">
        <x:v>否</x:v>
      </x:c>
      <x:c r="E15" s="37" t="str">
        <x:v>禁止改写成全国规模</x:v>
      </x:c>
      <x:c r="F15" s="38" t="str">
        <x:v>2023年浙江抹茶产量4200余吨</x:v>
      </x:c>
    </x:row>
  </x:sheetData>
  <x:mergeCells>
    <x:mergeCell ref="A1:F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30" hidden="0" customWidth="1"/>
  </x:cols>
  <x:sheetData>
    <x:row r="1">
      <x:c r="A1" s="5" t="str">
        <x:v>可直接复制给开发 Agent 的提示词
已写入完整修改范围、页面结构、数据规则、视觉要求和验收清单</x:v>
      </x:c>
      <x:c r="B1" s="5" t="str">
        <x:v>可直接复制给开发 Agent 的提示词
已写入完整修改范围、页面结构、数据规则、视觉要求和验收清单</x:v>
      </x:c>
    </x:row>
    <x:row r="2">
      <x:c r="A2" s="5" t="str">
        <x:v>可直接复制给开发 Agent 的提示词
已写入完整修改范围、页面结构、数据规则、视觉要求和验收清单</x:v>
      </x:c>
      <x:c r="B2" s="5" t="str">
        <x:v>可直接复制给开发 Agent 的提示词
已写入完整修改范围、页面结构、数据规则、视觉要求和验收清单</x:v>
      </x:c>
    </x:row>
    <x:row r="4" ht="66" customHeight="1">
      <x:c r="A4" s="11" t="str">
        <x:v>段落</x:v>
      </x:c>
      <x:c r="B4" s="11" t="str">
        <x:v>内容</x:v>
      </x:c>
    </x:row>
    <x:row r="5" ht="66" customHeight="1">
      <x:c r="A5" s="30" t="str">
        <x:v>P01</x:v>
      </x:c>
      <x:c r="B5" s="32" t="str">
        <x:v>你正在对一个已经基本完成的中国茶文化网页进行局部优化。当前“今日茶境—叶片”手机瀑布流的整体内容、顺序和视觉风格已经可以保留，不要重新设计整页，只处理本提示列出的图表细节、六种新表达详情卡和遮挡问题。</x:v>
      </x:c>
    </x:row>
    <x:row r="6" ht="66" customHeight="1">
      <x:c r="A6" s="33" t="str">
        <x:v>P02</x:v>
      </x:c>
      <x:c r="B6" s="35" t="str">
        <x:v>【唯一修改范围】
只修改点击左侧茶树“叶片”热点后，右侧手机屏幕内部瀑布流中的图1、图2、图3、六种新表达详情交互及其局部数据和局部样式。</x:v>
      </x:c>
    </x:row>
    <x:row r="7" ht="66" customHeight="1">
      <x:c r="A7" s="33" t="str">
        <x:v>P03</x:v>
      </x:c>
      <x:c r="B7" s="35" t="str">
        <x:v>【绝对禁止修改】
1. 不修改左侧茶树、叶片/枝干/根系热点、连线和文字标注。
2. 不修改顶部导航、章节切换、底部分页、背景、左右分栏比例和总体页面布局。
3. 不修改手机外壳、尺寸、位置、圆角、阴影、状态栏和原有滚动容器尺寸。
4. 不修改其他章节、其他热点内容、全局路由、全局CSS、共享组件和无关文件。
5. 不改变现有瀑布流栏目顺序，不恢复“2024产业快照”、双页签或年份下拉框。</x:v>
      </x:c>
    </x:row>
    <x:row r="8" ht="66" customHeight="1">
      <x:c r="A8" s="33" t="str">
        <x:v>P04</x:v>
      </x:c>
      <x:c r="B8" s="35" t="str">
        <x:v>【图1修改】
图表标题继续使用：图1 中国茶叶内销总量趋势图（2010—2024年）。
1. tooltip中只显示“年份、内销量、来源简称”，删除“口径：精确/约数/推算”等字段，不出现“口径”两个字。
2. 数据底稿中的数值质量字段仍保留，不要删除源数据；只是不在普通观众的tooltip中展示。
3. 2010—2024年的全部折线点统一为同一种茶绿色纯色实心圆点：symbol使用circle，symbolSize保持一致，itemStyle.color与折线颜色一致，borderWidth为0。不得再用空心点、不同颜色、不同大小区分年份。
4. 折线和浅色面积保持现有风格，不改变数据和图后分析文字。</x:v>
      </x:c>
    </x:row>
    <x:row r="9" ht="66" customHeight="1">
      <x:c r="A9" s="33" t="str">
        <x:v>P05</x:v>
      </x:c>
      <x:c r="B9" s="35" t="str">
        <x:v>【图2检查】
图2数据和叙事不变，但要一并检查布局。图例不得与2022年高点标记重叠，左、右Y轴单位不得压住刻度或折线。若当前红色高点气泡会与图例或标题相撞，应将标记移入绘图区、缩小或改成不遮挡的文字注释，不要覆盖图例。</x:v>
      </x:c>
    </x:row>
    <x:row r="10" ht="66" customHeight="1">
      <x:c r="A10" s="33" t="str">
        <x:v>P06</x:v>
      </x:c>
      <x:c r="B10" s="35" t="str">
        <x:v>【图3修改】
图表标题继续使用：图3 中国茶叶线上交易规模变化图（2016—2024年）。
1. tooltip中只显示“年份、线上交易额”，删除“口径：精确/约数/下限”等字段，不出现“口径”两个字。
2. 2021年仍然保留为空值。悬浮或点击2021年时显示“2021年｜数据缺失”，禁止插值、禁止补0。
3. 所有存在数值的年份全部使用同一种茶绿色柱体，包括2020年和2024年。不要用金色、浅绿色或其他颜色单独强调2020、2022、2023、2024；这些年份在本图中没有需要用颜色编码的特殊事件。
4. 2022、2023的柱顶标签可以继续显示“&gt;330亿元”“&gt;350亿元”，2024可显示“≈370亿元”，但柱体颜色必须一致。
5. 删除图3下方原文字：“线上渠道总体保持扩张，但公开数据口径并非逐年完全连续；本图用于表达渠道迁移趋势，不将缺失年份补成虚假的精确曲线。”删除后同步收起空白间距，不保留空容器或占位高度。</x:v>
      </x:c>
    </x:row>
    <x:row r="11" ht="66" customHeight="1">
      <x:c r="A11" s="33" t="str">
        <x:v>P07</x:v>
      </x:c>
      <x:c r="B11" s="35" t="str">
        <x:v>【六种新表达详情卡】
保留现有2×3入口卡：原叶冲泡、便捷茶饮、现制新茶饮、即饮及无糖茶、茶食品、精深应用。</x:v>
      </x:c>
    </x:row>
    <x:row r="12" ht="66" customHeight="1">
      <x:c r="A12" s="33" t="str">
        <x:v>P08</x:v>
      </x:c>
      <x:c r="B12" s="35" t="str">
        <x:v>点击任意入口卡时，在手机内容区域内部打开一张统一样式的详细信息卡。可以使用手机内部弹层、抽屉或展开卡，但不得覆盖手机外壳之外的区域，不得改变整页布局。详情卡必须能够关闭，并支持在手机内部滚动查看。</x:v>
      </x:c>
    </x:row>
    <x:row r="13" ht="66" customHeight="1">
      <x:c r="A13" s="33" t="str">
        <x:v>P09</x:v>
      </x:c>
      <x:c r="B13" s="35" t="str">
        <x:v>每张详情卡统一展示以下字段：
1. 表达类型和副标题；
2. 代表产品；
3. 一个核心数字；
4. 核心指标名称；
5. 数据年份和统计范围；
6. 一项辅助数据；
7. 一段不超过60字的解释；
8. 来源名称。</x:v>
      </x:c>
    </x:row>
    <x:row r="14" ht="66" customHeight="1">
      <x:c r="A14" s="33" t="str">
        <x:v>P10</x:v>
      </x:c>
      <x:c r="B14" s="35" t="str">
        <x:v>具体数据从Excel工作簿“03_产品应用”读取并转换为本地JS/TS/JSON：
• 原叶冲泡：2024年原叶茶内销量241.27万吨；辅助数据为内销总额3257.55亿元；全国统计。
• 便捷茶饮：2022年袋泡茶线上市场规模180.3亿元；辅助数据为截至2023年6月存续企业1939家；全国线上细分市场。
• 现制新茶饮：2024年新茶饮行业耗茶量约30万吨；辅助数据为约占当年原叶茶内销量12.4%；全国行业约数。
• 即饮及无糖茶：2024年无糖茶饮市场规模约600亿元；辅助数据为总产量突破2000万吨；全国行业约数。
• 茶食品：2023年浙江抹茶产量4200吨以上；辅助数据为产值突破6亿元；这是代表性区域案例，不得标成全国市场规模。
• 精深应用：2017年全国茶叶提取物产量2.5万吨以上；辅助数据为累计消耗茶叶原料约15万吨；必须保留2017年年份，不得伪装成2024数据。</x:v>
      </x:c>
    </x:row>
    <x:row r="15" ht="66" customHeight="1">
      <x:c r="A15" s="33" t="str">
        <x:v>P11</x:v>
      </x:c>
      <x:c r="B15" s="35" t="str">
        <x:v>六项数据的年份、范围和指标不同，只能分别作为各类表达的证据，不得制作六类横向柱状图、排行榜、占比图，也不得暗示它们可以直接比较。详情卡底部统一显示“数据年份与统计范围见卡片，六类指标不作横向比较”。</x:v>
      </x:c>
    </x:row>
    <x:row r="16" ht="66" customHeight="1">
      <x:c r="A16" s="33" t="str">
        <x:v>P12</x:v>
      </x:c>
      <x:c r="B16" s="35" t="str">
        <x:v>【全部图表防遮挡要求】
1. 三张图的正式标题使用独立DOM标题放在图表容器上方，不要让ECharts标题占用绘图区。
2. 每张图设置清晰的标题区、图例区、绘图区和注释区；图例与绘图区之间至少保留8px。
3. ECharts的grid必须使用containLabel: true，并为左右坐标轴、单位和底部年份保留足够空间。
4. 单Y轴图建议grid为left: 38、right: 16、top: 26、bottom: 34；双Y轴图建议left: 42、right: 42、top: 46、bottom: 38。可结合项目字号微调，但不能压缩到文字重叠。
5. 图2图例放在绘图区上方，图3没有多系列时不要显示无意义图例。
6. 单位“万吨、亿元、元/千克”必须与坐标轴保持间距，不得压住刻度数字。
7. 横轴标签按手机宽度隔年显示或自动抽稀，但tooltip仍可查看全部年份；不要让年份相互覆盖。
8. 柱顶标签和高点标记必须留在绘图区内；必要时提高Y轴max、缩小字号或减少常驻标签，不能遮挡标题、图例和坐标轴单位。
9. tooltip设置confine: true，最大宽度不超过手机内容区，长来源文字换行，不得溢出手机外壳。
10. 图表容器宽度使用100%，不要写超过手机内容区的固定宽度；在手机内容宽度约320px和375px两种情况下检查。
11. 初始化后及容器尺寸变化时调用resize；组件卸载时dispose，避免重复实例。</x:v>
      </x:c>
    </x:row>
    <x:row r="17" ht="66" customHeight="1">
      <x:c r="A17" s="33" t="str">
        <x:v>P13</x:v>
      </x:c>
      <x:c r="B17" s="35" t="str">
        <x:v>【视觉要求】
继续沿用现有米白、茶绿色、低饱和金色、圆角卡片和柔和阴影。详情卡的大数字使用茶绿色，年份和统计范围使用较弱的辅助文字。不要加入大面积图片，不要改变现有手机瀑布流的整体气质。</x:v>
      </x:c>
    </x:row>
    <x:row r="18" ht="66" customHeight="1">
      <x:c r="A18" s="33" t="str">
        <x:v>P14</x:v>
      </x:c>
      <x:c r="B18" s="35" t="str">
        <x:v>【验收清单】
1. 图1 tooltip没有“口径”，全部折线点为同色同大小纯色实心圆点。
2. 图3 tooltip没有“口径”，2021仍显示数据缺失，全部有效柱体颜色一致。
3. 图3下方指定说明文字及其空白占位已经删除。
4. 六张入口卡均可点击，并能打开含真实数据、年份、范围和来源的详情卡。
5. 六类数据没有被制作成错误的横向比较图。
6. 图1、图2、图3的标题、图例、单位、坐标轴、数据标签和tooltip均无重叠、遮挡或溢出。
7. 手机内部滚动正常，无横向滚动，无控制台报错。
8. 左侧茶树、顶部导航、底部分页、手机外壳、总体页面布局和其他章节完全不变。</x:v>
      </x:c>
    </x:row>
    <x:row r="19" ht="66" customHeight="1">
      <x:c r="A19" s="36" t="str">
        <x:v>P15</x:v>
      </x:c>
      <x:c r="B19" s="38" t="str">
        <x:v>完成后请列出实际修改的文件、图1与图3的tooltip字段、六张详情卡的数据字段，并明确确认：“未修改其他部分和总体页面布局”。</x:v>
      </x:c>
    </x:row>
  </x:sheetData>
  <x:mergeCells>
    <x:mergeCell ref="A1:B2"/>
  </x:mergeCells>
  <x:pageMargins left="0.7" right="0.7" top="0.75" bottom="0.75" header="0.3" footer="0.3"/>
</x:worksheet>
</file>