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be719038e46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数据总览" sheetId="1" r:id="Rf854d059574e4262"/>
    <x:sheet xmlns:r="http://schemas.openxmlformats.org/officeDocument/2006/relationships" name="01_使用说明" sheetId="2" r:id="R572b6e11d7bb4383"/>
    <x:sheet xmlns:r="http://schemas.openxmlformats.org/officeDocument/2006/relationships" name="02_核心指标" sheetId="3" r:id="R1e84c8c6e1744d6b"/>
    <x:sheet xmlns:r="http://schemas.openxmlformats.org/officeDocument/2006/relationships" name="03_产品应用" sheetId="4" r:id="R302c2434e56b4573"/>
    <x:sheet xmlns:r="http://schemas.openxmlformats.org/officeDocument/2006/relationships" name="04_内销趋势" sheetId="5" r:id="Rdf61cde39eb64754"/>
    <x:sheet xmlns:r="http://schemas.openxmlformats.org/officeDocument/2006/relationships" name="05_线上趋势" sheetId="6" r:id="Rd9f5a7abfe724941"/>
    <x:sheet xmlns:r="http://schemas.openxmlformats.org/officeDocument/2006/relationships" name="06_字段说明" sheetId="7" r:id="Rffcb73e9c65e40c0"/>
    <x:sheet xmlns:r="http://schemas.openxmlformats.org/officeDocument/2006/relationships" name="07_Agent提示词" sheetId="8" r:id="R03983f037a964d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%"/>
    <x:numFmt numFmtId="203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2F3828"/>
      <x:name val="Carlito"/>
    </x:font>
    <x:font>
      <x:sz val="11"/>
      <x:color rgb="FF2F3828"/>
      <x:name val="Carlito"/>
    </x:font>
    <x:font>
      <x:b/>
      <x:sz val="11"/>
      <x:color rgb="FF2F382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16D33"/>
      </x:patternFill>
    </x:fill>
    <x:fill>
      <x:patternFill patternType="solid">
        <x:fgColor rgb="FF5C7C3A"/>
      </x:patternFill>
    </x:fill>
    <x:fill>
      <x:patternFill patternType="solid">
        <x:fgColor rgb="FFF7F4EB"/>
      </x:patternFill>
    </x:fill>
    <x:fill>
      <x:patternFill patternType="solid">
        <x:fgColor rgb="FFB28F4C"/>
      </x:patternFill>
    </x:fill>
    <x:fill>
      <x:patternFill patternType="solid">
        <x:fgColor rgb="FFDDE5CC"/>
      </x:patternFill>
    </x:fill>
  </x:fills>
  <x:borders count="14">
    <x:border/>
    <x:border>
      <x:left style="thin">
        <x:color rgb="FF516D33"/>
      </x:left>
      <x:top style="thin">
        <x:color rgb="FF516D33"/>
      </x:top>
      <x:bottom style="thin">
        <x:color rgb="FF516D33"/>
      </x:bottom>
    </x:border>
    <x:border>
      <x:right style="thin">
        <x:color rgb="FF516D33"/>
      </x:right>
      <x:top style="thin">
        <x:color rgb="FF516D33"/>
      </x:top>
      <x:bottom style="thin">
        <x:color rgb="FF516D33"/>
      </x:bottom>
    </x:border>
    <x:border>
      <x:bottom style="thin">
        <x:color rgb="FFD9D5C7"/>
      </x:bottom>
    </x:border>
    <x:border>
      <x:top style="thin">
        <x:color rgb="FFD9D5C7"/>
      </x:top>
      <x:bottom style="thin">
        <x:color rgb="FFD9D5C7"/>
      </x:bottom>
    </x:border>
    <x:border>
      <x:top style="thin">
        <x:color rgb="FF516D33"/>
      </x:top>
      <x:bottom style="thin">
        <x:color rgb="FF516D33"/>
      </x:bottom>
    </x:border>
    <x:border>
      <x:left style="thin">
        <x:color rgb="FFC3C19A"/>
      </x:left>
      <x:top style="thin">
        <x:color rgb="FFC3C19A"/>
      </x:top>
    </x:border>
    <x:border>
      <x:top style="thin">
        <x:color rgb="FFC3C19A"/>
      </x:top>
    </x:border>
    <x:border>
      <x:right style="thin">
        <x:color rgb="FFC3C19A"/>
      </x:right>
      <x:top style="thin">
        <x:color rgb="FFC3C19A"/>
      </x:top>
    </x:border>
    <x:border>
      <x:left style="thin">
        <x:color rgb="FFC3C19A"/>
      </x:left>
    </x:border>
    <x:border>
      <x:right style="thin">
        <x:color rgb="FFC3C19A"/>
      </x:right>
    </x:border>
    <x:border>
      <x:left style="thin">
        <x:color rgb="FFC3C19A"/>
      </x:left>
      <x:bottom style="thin">
        <x:color rgb="FFC3C19A"/>
      </x:bottom>
    </x:border>
    <x:border>
      <x:bottom style="thin">
        <x:color rgb="FFC3C19A"/>
      </x:bottom>
    </x:border>
    <x:border>
      <x:right style="thin">
        <x:color rgb="FFC3C19A"/>
      </x:right>
      <x:bottom style="thin">
        <x:color rgb="FFC3C19A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200" fontId="3" fillId="4" borderId="3" xfId="0" applyNumberFormat="1" applyFont="1" applyFill="1" applyBorder="1" applyAlignment="1">
      <x:alignment vertical="center" wrapText="1"/>
    </x:xf>
    <x:xf numFmtId="200" fontId="3" fillId="4" borderId="4" xfId="0" applyNumberFormat="1" applyFont="1" applyFill="1" applyBorder="1" applyAlignment="1">
      <x:alignment vertical="center" wrapText="1"/>
    </x:xf>
    <x:xf numFmtId="201" fontId="3" fillId="4" borderId="3" xfId="0" applyNumberFormat="1" applyFont="1" applyFill="1" applyBorder="1" applyAlignment="1">
      <x:alignment vertical="center" wrapText="1"/>
    </x:xf>
    <x:xf numFmtId="201" fontId="3" fillId="4" borderId="4" xfId="0" applyNumberFormat="1" applyFont="1" applyFill="1" applyBorder="1" applyAlignment="1">
      <x:alignment vertical="center" wrapText="1"/>
    </x:xf>
    <x:xf numFmtId="202" fontId="3" fillId="4" borderId="3" xfId="0" applyNumberFormat="1" applyFont="1" applyFill="1" applyBorder="1" applyAlignment="1">
      <x:alignment vertical="center" wrapText="1"/>
    </x:xf>
    <x:xf numFmtId="202" fontId="3" fillId="4" borderId="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203" fontId="3" fillId="4" borderId="3" xfId="0" applyNumberFormat="1" applyFont="1" applyFill="1" applyBorder="1" applyAlignment="1">
      <x:alignment vertical="center" wrapText="1"/>
    </x:xf>
    <x:xf numFmtId="203" fontId="3" fillId="4" borderId="4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horizontal="left" wrapText="1"/>
    </x:xf>
    <x:xf numFmtId="0" fontId="3" fillId="4" borderId="7" xfId="0" applyNumberFormat="1" applyFont="1" applyFill="1" applyBorder="1" applyAlignment="1">
      <x:alignment horizontal="left" wrapText="1"/>
    </x:xf>
    <x:xf numFmtId="0" fontId="3" fillId="4" borderId="8" xfId="0" applyNumberFormat="1" applyFont="1" applyFill="1" applyBorder="1" applyAlignment="1">
      <x:alignment horizontal="left" wrapText="1"/>
    </x:xf>
    <x:xf numFmtId="0" fontId="3" fillId="4" borderId="9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10" xfId="0" applyNumberFormat="1" applyFont="1" applyFill="1" applyBorder="1" applyAlignment="1">
      <x:alignment horizontal="left" wrapText="1"/>
    </x:xf>
    <x:xf numFmtId="0" fontId="3" fillId="4" borderId="11" xfId="0" applyNumberFormat="1" applyFont="1" applyFill="1" applyBorder="1" applyAlignment="1">
      <x:alignment horizontal="left" wrapText="1"/>
    </x:xf>
    <x:xf numFmtId="0" fontId="3" fillId="4" borderId="12" xfId="0" applyNumberFormat="1" applyFont="1" applyFill="1" applyBorder="1" applyAlignment="1">
      <x:alignment horizontal="left" wrapText="1"/>
    </x:xf>
    <x:xf numFmtId="0" fontId="3" fillId="4" borderId="13" xfId="0" applyNumberFormat="1" applyFont="1" applyFill="1" applyBorder="1" applyAlignment="1">
      <x:alignment horizontal="left" wrapText="1"/>
    </x:xf>
    <x:xf numFmtId="0" fontId="3" fillId="4" borderId="6" xfId="0" applyNumberFormat="1" applyFont="1" applyFill="1" applyBorder="1" applyAlignment="1">
      <x:alignment horizontal="left" vertical="top" wrapText="1"/>
    </x:xf>
    <x:xf numFmtId="0" fontId="3" fillId="4" borderId="7" xfId="0" applyNumberFormat="1" applyFont="1" applyFill="1" applyBorder="1" applyAlignment="1">
      <x:alignment horizontal="left" vertical="top" wrapText="1"/>
    </x:xf>
    <x:xf numFmtId="0" fontId="3" fillId="4" borderId="8" xfId="0" applyNumberFormat="1" applyFont="1" applyFill="1" applyBorder="1" applyAlignment="1">
      <x:alignment horizontal="left" vertical="top" wrapText="1"/>
    </x:xf>
    <x:xf numFmtId="0" fontId="3" fillId="4" borderId="9" xfId="0" applyNumberFormat="1" applyFont="1" applyFill="1" applyBorder="1" applyAlignment="1">
      <x:alignment horizontal="left" vertical="top" wrapText="1"/>
    </x:xf>
    <x:xf numFmtId="0" fontId="3" fillId="4" borderId="0" xfId="0" applyNumberFormat="1" applyFont="1" applyFill="1" applyBorder="1" applyAlignment="1">
      <x:alignment horizontal="left" vertical="top" wrapText="1"/>
    </x:xf>
    <x:xf numFmtId="0" fontId="3" fillId="4" borderId="10" xfId="0" applyNumberFormat="1" applyFont="1" applyFill="1" applyBorder="1" applyAlignment="1">
      <x:alignment horizontal="left" vertical="top" wrapText="1"/>
    </x:xf>
    <x:xf numFmtId="0" fontId="3" fillId="4" borderId="11" xfId="0" applyNumberFormat="1" applyFont="1" applyFill="1" applyBorder="1" applyAlignment="1">
      <x:alignment horizontal="left" vertical="top" wrapText="1"/>
    </x:xf>
    <x:xf numFmtId="0" fontId="3" fillId="4" borderId="12" xfId="0" applyNumberFormat="1" applyFont="1" applyFill="1" applyBorder="1" applyAlignment="1">
      <x:alignment horizontal="left" vertical="top" wrapText="1"/>
    </x:xf>
    <x:xf numFmtId="0" fontId="3" fillId="4" borderId="13" xfId="0" applyNumberFormat="1" applyFont="1" applyFill="1" applyBorder="1" applyAlignment="1">
      <x:alignment horizontal="left" vertical="top"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09d80c4b5c4237" /><Relationship Type="http://schemas.openxmlformats.org/officeDocument/2006/relationships/theme" Target="/xl/theme/theme1.xml" Id="Refed2e1caf40407b" /><Relationship Type="http://schemas.openxmlformats.org/officeDocument/2006/relationships/sharedStrings" Target="/xl/sharedStrings.xml" Id="Rbf46f5f298d24ce7" /><Relationship Type="http://schemas.openxmlformats.org/officeDocument/2006/relationships/worksheet" Target="/xl/worksheets/sheet1.xml" Id="Rf854d059574e4262" /><Relationship Type="http://schemas.openxmlformats.org/officeDocument/2006/relationships/worksheet" Target="/xl/worksheets/sheet2.xml" Id="R572b6e11d7bb4383" /><Relationship Type="http://schemas.openxmlformats.org/officeDocument/2006/relationships/worksheet" Target="/xl/worksheets/sheet3.xml" Id="R1e84c8c6e1744d6b" /><Relationship Type="http://schemas.openxmlformats.org/officeDocument/2006/relationships/worksheet" Target="/xl/worksheets/sheet4.xml" Id="R302c2434e56b4573" /><Relationship Type="http://schemas.openxmlformats.org/officeDocument/2006/relationships/worksheet" Target="/xl/worksheets/sheet5.xml" Id="Rdf61cde39eb64754" /><Relationship Type="http://schemas.openxmlformats.org/officeDocument/2006/relationships/worksheet" Target="/xl/worksheets/sheet6.xml" Id="Rd9f5a7abfe724941" /><Relationship Type="http://schemas.openxmlformats.org/officeDocument/2006/relationships/worksheet" Target="/xl/worksheets/sheet7.xml" Id="Rffcb73e9c65e40c0" /><Relationship Type="http://schemas.openxmlformats.org/officeDocument/2006/relationships/worksheet" Target="/xl/worksheets/sheet8.xml" Id="R03983f037a964d14" /><Relationship Type="http://schemas.microsoft.com/office/2017/10/relationships/person" Target="/xl/persons/person.xml" Id="R604e9f059f7e4b37" /></Relationships>
</file>

<file path=xl/persons/person.xml><?xml version="1.0" encoding="utf-8"?>
<xltc:personList xmlns:xltc="http://schemas.microsoft.com/office/spreadsheetml/2018/threadedcomments">
  <xltc:person displayName="小雪" id="{9FBA2EC8-34CB-411A-B1F9-30D75E2D2880}"/>
</xltc:personList>
</file>

<file path=xl/tables/table1.xml><?xml version="1.0" encoding="utf-8"?>
<x:table xmlns:x="http://schemas.openxmlformats.org/spreadsheetml/2006/main" id="6" name="OverviewCoreMetricsTable" displayName="OverviewCoreMetricsTable" ref="A8:F12" headerRowCount="1" totalsRowCount="0" totalsRowShown="0">
  <x:tableColumns count="6">
    <x:tableColumn id="1" name="指标"/>
    <x:tableColumn id="2" name="数值"/>
    <x:tableColumn id="3" name="单位"/>
    <x:tableColumn id="4" name="网页展示"/>
    <x:tableColumn id="5" name="数据口径"/>
    <x:tableColumn id="6" name="来源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7" name="OverviewApplicationsTable" displayName="OverviewApplicationsTable" ref="A16:H22" headerRowCount="1" totalsRowCount="0" totalsRowShown="0">
  <x:tableColumns count="8">
    <x:tableColumn id="1" name="应用类别"/>
    <x:tableColumn id="2" name="简要说明"/>
    <x:tableColumn id="3" name="代表产品"/>
    <x:tableColumn id="4" name="展示方式"/>
    <x:tableColumn id="5" name="主要指标1"/>
    <x:tableColumn id="6" name="主要指标2"/>
    <x:tableColumn id="7" name="主要指标3"/>
    <x:tableColumn id="8" name="趋势标签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8" name="OverviewDomesticTrendTable" displayName="OverviewDomesticTrendTable" ref="A26:F32" headerRowCount="1" totalsRowCount="0" totalsRowShown="0">
  <x:tableColumns count="6">
    <x:tableColumn id="1" name="年份"/>
    <x:tableColumn id="2" name="内销量/万吨"/>
    <x:tableColumn id="3" name="内销额/亿元"/>
    <x:tableColumn id="4" name="均价/元·kg⁻¹"/>
    <x:tableColumn id="5" name="内销量同比"/>
    <x:tableColumn id="6" name="内销额同比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9" name="OverviewOnlineTrendTable" displayName="OverviewOnlineTrendTable" ref="A36:D40" headerRowCount="1" totalsRowCount="0" totalsRowShown="0">
  <x:tableColumns count="4">
    <x:tableColumn id="1" name="年份"/>
    <x:tableColumn id="2" name="数值/亿元"/>
    <x:tableColumn id="3" name="网页展示"/>
    <x:tableColumn id="4" name="数据口径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1" name="CoreMetricsTable" displayName="CoreMetricsTable" ref="A4:L8" headerRowCount="1" totalsRowCount="0" totalsRowShown="0">
  <x:tableColumns count="12">
    <x:tableColumn id="1" name="metric_id"/>
    <x:tableColumn id="2" name="card_order"/>
    <x:tableColumn id="3" name="card_title"/>
    <x:tableColumn id="4" name="metric_name"/>
    <x:tableColumn id="5" name="metric_value"/>
    <x:tableColumn id="6" name="unit"/>
    <x:tableColumn id="7" name="qualifier"/>
    <x:tableColumn id="8" name="display_value"/>
    <x:tableColumn id="9" name="year"/>
    <x:tableColumn id="10" name="icon_key"/>
    <x:tableColumn id="11" name="source_name"/>
    <x:tableColumn id="12" name="source_url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2" name="ApplicationCardsTable" displayName="ApplicationCardsTable" ref="A4:V10" headerRowCount="1" totalsRowCount="0" totalsRowShown="0">
  <x:tableColumns count="22">
    <x:tableColumn id="1" name="application_id"/>
    <x:tableColumn id="2" name="card_order"/>
    <x:tableColumn id="3" name="name"/>
    <x:tableColumn id="4" name="short_description"/>
    <x:tableColumn id="5" name="representative_products"/>
    <x:tableColumn id="6" name="display_mode"/>
    <x:tableColumn id="7" name="metric_1_name"/>
    <x:tableColumn id="8" name="metric_1_value"/>
    <x:tableColumn id="9" name="metric_1_unit"/>
    <x:tableColumn id="10" name="metric_1_qualifier"/>
    <x:tableColumn id="11" name="metric_2_name"/>
    <x:tableColumn id="12" name="metric_2_value"/>
    <x:tableColumn id="13" name="metric_2_unit"/>
    <x:tableColumn id="14" name="metric_2_qualifier"/>
    <x:tableColumn id="15" name="metric_3_name"/>
    <x:tableColumn id="16" name="metric_3_value"/>
    <x:tableColumn id="17" name="metric_3_unit"/>
    <x:tableColumn id="18" name="metric_3_qualifier"/>
    <x:tableColumn id="19" name="year"/>
    <x:tableColumn id="20" name="trend_tags"/>
    <x:tableColumn id="21" name="source_name"/>
    <x:tableColumn id="22" name="source_url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3" name="DomesticTrendTable" displayName="DomesticTrendTable" ref="A4:H10" headerRowCount="1" totalsRowCount="0" totalsRowShown="0">
  <x:tableColumns count="8">
    <x:tableColumn id="1" name="year"/>
    <x:tableColumn id="2" name="domestic_volume_10kt"/>
    <x:tableColumn id="3" name="domestic_value_100m_cny"/>
    <x:tableColumn id="4" name="average_price_cny_kg"/>
    <x:tableColumn id="5" name="volume_yoy"/>
    <x:tableColumn id="6" name="value_yoy"/>
    <x:tableColumn id="7" name="source_name"/>
    <x:tableColumn id="8" name="source_url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4" name="OnlineTrendTable" displayName="OnlineTrendTable" ref="A4:G8" headerRowCount="1" totalsRowCount="0" totalsRowShown="0">
  <x:tableColumns count="7">
    <x:tableColumn id="1" name="year"/>
    <x:tableColumn id="2" name="value_100m_cny"/>
    <x:tableColumn id="3" name="qualifier"/>
    <x:tableColumn id="4" name="display_value"/>
    <x:tableColumn id="5" name="metric_name"/>
    <x:tableColumn id="6" name="source_name"/>
    <x:tableColumn id="7" name="source_url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5" name="FieldDictionaryTable" displayName="FieldDictionaryTable" ref="A4:F19" headerRowCount="1" totalsRowCount="0" totalsRowShown="0">
  <x:tableColumns count="6">
    <x:tableColumn id="1" name="field"/>
    <x:tableColumn id="2" name="type"/>
    <x:tableColumn id="3" name="required"/>
    <x:tableColumn id="4" name="meaning"/>
    <x:tableColumn id="5" name="frontend_usage"/>
    <x:tableColumn id="6" name="exampl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4df07648c84d29" /><Relationship Type="http://schemas.openxmlformats.org/officeDocument/2006/relationships/table" Target="/xl/tables/table2.xml" Id="Rbda32088aede4b29" /><Relationship Type="http://schemas.openxmlformats.org/officeDocument/2006/relationships/table" Target="/xl/tables/table3.xml" Id="R4b5c99d95f724c2b" /><Relationship Type="http://schemas.openxmlformats.org/officeDocument/2006/relationships/table" Target="/xl/tables/table4.xml" Id="R25b3dbe3454440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6d7f378e12ba49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b4802eb5d92149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14737159bb3a40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5059cd8ac2c24b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0cd461c7cfcc41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34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26" hidden="0" customWidth="1"/>
  </x:cols>
  <x:sheetData>
    <x:row r="1" ht="42" customHeight="1">
      <x:c r="A1" s="5" t="str">
        <x:v>叶片板块数据总览
打开文件即可查看；完整字段、来源和提示词保留在后续工作表</x:v>
      </x:c>
      <x:c r="B1" s="5" t="str">
        <x:v>叶片板块数据总览
打开文件即可查看；完整字段、来源和提示词保留在后续工作表</x:v>
      </x:c>
      <x:c r="C1" s="5" t="str">
        <x:v>叶片板块数据总览
打开文件即可查看；完整字段、来源和提示词保留在后续工作表</x:v>
      </x:c>
      <x:c r="D1" s="5" t="str">
        <x:v>叶片板块数据总览
打开文件即可查看；完整字段、来源和提示词保留在后续工作表</x:v>
      </x:c>
      <x:c r="E1" s="5" t="str">
        <x:v>叶片板块数据总览
打开文件即可查看；完整字段、来源和提示词保留在后续工作表</x:v>
      </x:c>
      <x:c r="F1" s="5" t="str">
        <x:v>叶片板块数据总览
打开文件即可查看；完整字段、来源和提示词保留在后续工作表</x:v>
      </x:c>
      <x:c r="G1" s="5" t="str">
        <x:v>叶片板块数据总览
打开文件即可查看；完整字段、来源和提示词保留在后续工作表</x:v>
      </x:c>
      <x:c r="H1" s="5" t="str">
        <x:v>叶片板块数据总览
打开文件即可查看；完整字段、来源和提示词保留在后续工作表</x:v>
      </x:c>
    </x:row>
    <x:row r="2" ht="42" customHeight="1">
      <x:c r="A2" s="5" t="str">
        <x:v>叶片板块数据总览
打开文件即可查看；完整字段、来源和提示词保留在后续工作表</x:v>
      </x:c>
      <x:c r="B2" s="5" t="str">
        <x:v>叶片板块数据总览
打开文件即可查看；完整字段、来源和提示词保留在后续工作表</x:v>
      </x:c>
      <x:c r="C2" s="5" t="str">
        <x:v>叶片板块数据总览
打开文件即可查看；完整字段、来源和提示词保留在后续工作表</x:v>
      </x:c>
      <x:c r="D2" s="5" t="str">
        <x:v>叶片板块数据总览
打开文件即可查看；完整字段、来源和提示词保留在后续工作表</x:v>
      </x:c>
      <x:c r="E2" s="5" t="str">
        <x:v>叶片板块数据总览
打开文件即可查看；完整字段、来源和提示词保留在后续工作表</x:v>
      </x:c>
      <x:c r="F2" s="5" t="str">
        <x:v>叶片板块数据总览
打开文件即可查看；完整字段、来源和提示词保留在后续工作表</x:v>
      </x:c>
      <x:c r="G2" s="5" t="str">
        <x:v>叶片板块数据总览
打开文件即可查看；完整字段、来源和提示词保留在后续工作表</x:v>
      </x:c>
      <x:c r="H2" s="5" t="str">
        <x:v>叶片板块数据总览
打开文件即可查看；完整字段、来源和提示词保留在后续工作表</x:v>
      </x:c>
    </x:row>
    <x:row r="4" ht="42" customHeight="1">
      <x:c r="A4" s="80" t="str">
        <x:v>以下数据用于“叶片·新生——现代茶产品应用结构与消费趋势”。Agent 应将分表数据转换为项目现有 JS/JSON/TS 格式，不要让网页运行时直接读取 Excel。</x:v>
      </x:c>
      <x:c r="B4" s="80"/>
      <x:c r="C4" s="80"/>
      <x:c r="D4" s="80"/>
      <x:c r="E4" s="80"/>
      <x:c r="F4" s="80"/>
      <x:c r="G4" s="80"/>
      <x:c r="H4" s="80"/>
    </x:row>
    <x:row r="6">
      <x:c r="A6" s="26" t="str">
        <x:v>一、2024年核心指标</x:v>
      </x:c>
      <x:c r="B6" s="26"/>
      <x:c r="C6" s="26"/>
      <x:c r="D6" s="26"/>
      <x:c r="E6" s="26"/>
      <x:c r="F6" s="26"/>
      <x:c r="G6" s="26"/>
      <x:c r="H6" s="26"/>
    </x:row>
    <x:row r="8" ht="32" customHeight="1">
      <x:c r="A8" s="14" t="str">
        <x:v>指标</x:v>
      </x:c>
      <x:c r="B8" s="30" t="str">
        <x:v>数值</x:v>
      </x:c>
      <x:c r="C8" s="30" t="str">
        <x:v>单位</x:v>
      </x:c>
      <x:c r="D8" s="30" t="str">
        <x:v>网页展示</x:v>
      </x:c>
      <x:c r="E8" s="30" t="str">
        <x:v>数据口径</x:v>
      </x:c>
      <x:c r="F8" s="15" t="str">
        <x:v>来源</x:v>
      </x:c>
    </x:row>
    <x:row r="9">
      <x:c r="A9" s="22" t="str">
        <x:f>'02_核心指标'!C5</x:f>
        <x:v>原叶茶内销量</x:v>
      </x:c>
      <x:c r="B9" s="33" t="n">
        <x:f>'02_核心指标'!E5</x:f>
        <x:v>241.27</x:v>
      </x:c>
      <x:c r="C9" s="22" t="str">
        <x:f>'02_核心指标'!F5</x:f>
        <x:v>万吨</x:v>
      </x:c>
      <x:c r="D9" s="22" t="str">
        <x:f>'02_核心指标'!H5</x:f>
        <x:v>241.27万吨</x:v>
      </x:c>
      <x:c r="E9" s="22" t="str">
        <x:f>'02_核心指标'!G5</x:f>
        <x:v>exact</x:v>
      </x:c>
      <x:c r="F9" s="22" t="str">
        <x:f>'02_核心指标'!K5</x:f>
        <x:v>中国茶叶流通协会</x:v>
      </x:c>
      <x:c r="G9" s="81"/>
      <x:c r="H9" s="81"/>
    </x:row>
    <x:row r="10">
      <x:c r="A10" s="23" t="str">
        <x:f>'02_核心指标'!C6</x:f>
        <x:v>原叶茶内销额</x:v>
      </x:c>
      <x:c r="B10" s="34" t="n">
        <x:f>'02_核心指标'!E6</x:f>
        <x:v>3257.55</x:v>
      </x:c>
      <x:c r="C10" s="23" t="str">
        <x:f>'02_核心指标'!F6</x:f>
        <x:v>亿元</x:v>
      </x:c>
      <x:c r="D10" s="23" t="str">
        <x:f>'02_核心指标'!H6</x:f>
        <x:v>3257.55亿元</x:v>
      </x:c>
      <x:c r="E10" s="23" t="str">
        <x:f>'02_核心指标'!G6</x:f>
        <x:v>exact</x:v>
      </x:c>
      <x:c r="F10" s="23" t="str">
        <x:f>'02_核心指标'!K6</x:f>
        <x:v>中国茶叶流通协会</x:v>
      </x:c>
      <x:c r="G10" s="81"/>
      <x:c r="H10" s="81"/>
    </x:row>
    <x:row r="11">
      <x:c r="A11" s="23" t="str">
        <x:f>'02_核心指标'!C7</x:f>
        <x:v>线上零售额</x:v>
      </x:c>
      <x:c r="B11" s="34" t="n">
        <x:f>'02_核心指标'!E7</x:f>
        <x:v>370</x:v>
      </x:c>
      <x:c r="C11" s="23" t="str">
        <x:f>'02_核心指标'!F7</x:f>
        <x:v>亿元</x:v>
      </x:c>
      <x:c r="D11" s="23" t="str">
        <x:f>'02_核心指标'!H7</x:f>
        <x:v>约370亿元</x:v>
      </x:c>
      <x:c r="E11" s="23" t="str">
        <x:f>'02_核心指标'!G7</x:f>
        <x:v>about</x:v>
      </x:c>
      <x:c r="F11" s="23" t="str">
        <x:f>'02_核心指标'!K7</x:f>
        <x:v>中国茶叶流通协会</x:v>
      </x:c>
      <x:c r="G11" s="81"/>
      <x:c r="H11" s="81"/>
    </x:row>
    <x:row r="12">
      <x:c r="A12" s="23" t="str">
        <x:f>'02_核心指标'!C8</x:f>
        <x:v>直播电商交易额</x:v>
      </x:c>
      <x:c r="B12" s="34" t="n">
        <x:f>'02_核心指标'!E8</x:f>
        <x:v>150</x:v>
      </x:c>
      <x:c r="C12" s="23" t="str">
        <x:f>'02_核心指标'!F8</x:f>
        <x:v>亿元</x:v>
      </x:c>
      <x:c r="D12" s="23" t="str">
        <x:f>'02_核心指标'!H8</x:f>
        <x:v>超150亿元</x:v>
      </x:c>
      <x:c r="E12" s="23" t="str">
        <x:f>'02_核心指标'!G8</x:f>
        <x:v>greater_than</x:v>
      </x:c>
      <x:c r="F12" s="23" t="str">
        <x:f>'02_核心指标'!K8</x:f>
        <x:v>中国茶叶流通协会</x:v>
      </x:c>
      <x:c r="G12" s="81"/>
      <x:c r="H12" s="81"/>
    </x:row>
    <x:row r="13">
      <x:c r="A13" s="81"/>
      <x:c r="B13" s="81"/>
      <x:c r="C13" s="81"/>
      <x:c r="D13" s="81"/>
      <x:c r="E13" s="81"/>
      <x:c r="F13" s="81"/>
      <x:c r="G13" s="81"/>
      <x:c r="H13" s="81"/>
    </x:row>
    <x:row r="14">
      <x:c r="A14" s="26" t="str">
        <x:v>二、现代茶产品应用结构</x:v>
      </x:c>
      <x:c r="B14" s="26"/>
      <x:c r="C14" s="26"/>
      <x:c r="D14" s="26"/>
      <x:c r="E14" s="26"/>
      <x:c r="F14" s="26"/>
      <x:c r="G14" s="26"/>
      <x:c r="H14" s="26"/>
    </x:row>
    <x:row r="15">
      <x:c r="A15" s="81"/>
      <x:c r="B15" s="81"/>
      <x:c r="C15" s="81"/>
      <x:c r="D15" s="81"/>
      <x:c r="E15" s="81"/>
      <x:c r="F15" s="81"/>
      <x:c r="G15" s="81"/>
      <x:c r="H15" s="81"/>
    </x:row>
    <x:row r="16" ht="32" customHeight="1">
      <x:c r="A16" s="14" t="str">
        <x:v>应用类别</x:v>
      </x:c>
      <x:c r="B16" s="30" t="str">
        <x:v>简要说明</x:v>
      </x:c>
      <x:c r="C16" s="30" t="str">
        <x:v>代表产品</x:v>
      </x:c>
      <x:c r="D16" s="30" t="str">
        <x:v>展示方式</x:v>
      </x:c>
      <x:c r="E16" s="30" t="str">
        <x:v>主要指标1</x:v>
      </x:c>
      <x:c r="F16" s="30" t="str">
        <x:v>主要指标2</x:v>
      </x:c>
      <x:c r="G16" s="30" t="str">
        <x:v>主要指标3</x:v>
      </x:c>
      <x:c r="H16" s="15" t="str">
        <x:v>趋势标签</x:v>
      </x:c>
    </x:row>
    <x:row r="17" ht="58" customHeight="1">
      <x:c r="A17" s="22" t="str">
        <x:f>'03_产品应用'!C5</x:f>
        <x:v>原叶冲泡</x:v>
      </x:c>
      <x:c r="B17" s="22" t="str">
        <x:f>'03_产品应用'!D5</x:f>
        <x:v>以散茶、紧压茶和小包装茶为主的传统冲泡消费。</x:v>
      </x:c>
      <x:c r="C17" s="22" t="str">
        <x:f>'03_产品应用'!E5</x:f>
        <x:v>散茶｜紧压茶｜小包装茶</x:v>
      </x:c>
      <x:c r="D17" s="22" t="str">
        <x:f>'03_产品应用'!F5</x:f>
        <x:v>quantitative</x:v>
      </x:c>
      <x:c r="E17" s="22" t="str">
        <x:f>IF('03_产品应用'!H5="","",'03_产品应用'!G5&amp;"："&amp;IF('03_产品应用'!J5="about","约",IF('03_产品应用'!J5="greater_than","超",""))&amp;ROUND('03_产品应用'!H5,2)&amp;'03_产品应用'!I5)</x:f>
        <x:v>内销量：241.27万吨</x:v>
      </x:c>
      <x:c r="F17" s="22" t="str">
        <x:f>IF('03_产品应用'!L5="","",'03_产品应用'!K5&amp;"："&amp;IF('03_产品应用'!N5="about","约",IF('03_产品应用'!N5="greater_than","超",""))&amp;ROUND('03_产品应用'!L5,2)&amp;'03_产品应用'!M5)</x:f>
        <x:v>内销额：3257.55亿元</x:v>
      </x:c>
      <x:c r="G17" s="22" t="str">
        <x:f>IF('03_产品应用'!P5="","",'03_产品应用'!O5&amp;"："&amp;IF('03_产品应用'!R5="about","约",IF('03_产品应用'!R5="greater_than","超",""))&amp;ROUND('03_产品应用'!P5,2)&amp;'03_产品应用'!Q5)</x:f>
        <x:v>内销均价：135.01元/千克</x:v>
      </x:c>
      <x:c r="H17" s="22" t="str">
        <x:f>'03_产品应用'!T5</x:f>
        <x:v>基础市场｜消费稳定</x:v>
      </x:c>
    </x:row>
    <x:row r="18" ht="58" customHeight="1">
      <x:c r="A18" s="23" t="str">
        <x:f>'03_产品应用'!C6</x:f>
        <x:v>便捷茶饮</x:v>
      </x:c>
      <x:c r="B18" s="23" t="str">
        <x:f>'03_产品应用'!D6</x:f>
        <x:v>以便携、小包装和简化冲泡流程为特点。</x:v>
      </x:c>
      <x:c r="C18" s="23" t="str">
        <x:f>'03_产品应用'!E6</x:f>
        <x:v>袋泡茶｜冷泡茶｜速溶茶</x:v>
      </x:c>
      <x:c r="D18" s="23" t="str">
        <x:f>'03_产品应用'!F6</x:f>
        <x:v>information</x:v>
      </x:c>
      <x:c r="E18" s="23" t="str">
        <x:f>IF('03_产品应用'!H6="","",'03_产品应用'!G6&amp;"："&amp;IF('03_产品应用'!J6="about","约",IF('03_产品应用'!J6="greater_than","超",""))&amp;ROUND('03_产品应用'!H6,2)&amp;'03_产品应用'!I6)</x:f>
      </x:c>
      <x:c r="F18" s="23" t="str">
        <x:f>IF('03_产品应用'!L6="","",'03_产品应用'!K6&amp;"："&amp;IF('03_产品应用'!N6="about","约",IF('03_产品应用'!N6="greater_than","超",""))&amp;ROUND('03_产品应用'!L6,2)&amp;'03_产品应用'!M6)</x:f>
      </x:c>
      <x:c r="G18" s="23" t="str">
        <x:f>IF('03_产品应用'!P6="","",'03_产品应用'!O6&amp;"："&amp;IF('03_产品应用'!R6="about","约",IF('03_产品应用'!R6="greater_than","超",""))&amp;ROUND('03_产品应用'!P6,2)&amp;'03_产品应用'!Q6)</x:f>
      </x:c>
      <x:c r="H18" s="23" t="str">
        <x:f>'03_产品应用'!T6</x:f>
        <x:v>便捷化｜小包装</x:v>
      </x:c>
    </x:row>
    <x:row r="19" ht="58" customHeight="1">
      <x:c r="A19" s="23" t="str">
        <x:f>'03_产品应用'!C7</x:f>
        <x:v>现制新茶饮</x:v>
      </x:c>
      <x:c r="B19" s="23" t="str">
        <x:f>'03_产品应用'!D7</x:f>
        <x:v>以原叶茶或茶汤为基础，结合乳品、水果等现场制作。</x:v>
      </x:c>
      <x:c r="C19" s="23" t="str">
        <x:f>'03_产品应用'!E7</x:f>
        <x:v>纯茶｜鲜奶茶｜水果茶</x:v>
      </x:c>
      <x:c r="D19" s="23" t="str">
        <x:f>'03_产品应用'!F7</x:f>
        <x:v>quantitative</x:v>
      </x:c>
      <x:c r="E19" s="23" t="str">
        <x:f>IF('03_产品应用'!H7="","",'03_产品应用'!G7&amp;"："&amp;IF('03_产品应用'!J7="about","约",IF('03_产品应用'!J7="greater_than","超",""))&amp;ROUND('03_产品应用'!H7,2)&amp;'03_产品应用'!I7)</x:f>
        <x:v>市场规模：超2000亿元</x:v>
      </x:c>
      <x:c r="F19" s="23" t="str">
        <x:f>IF('03_产品应用'!L7="","",'03_产品应用'!K7&amp;"："&amp;IF('03_产品应用'!N7="about","约",IF('03_产品应用'!N7="greater_than","超",""))&amp;ROUND('03_产品应用'!L7,2)&amp;'03_产品应用'!M7)</x:f>
        <x:v>门店数量：约65万家</x:v>
      </x:c>
      <x:c r="G19" s="23" t="str">
        <x:f>IF('03_产品应用'!P7="","",'03_产品应用'!O7&amp;"："&amp;IF('03_产品应用'!R7="about","约",IF('03_产品应用'!R7="greater_than","超",""))&amp;ROUND('03_产品应用'!P7,2)&amp;'03_产品应用'!Q7)</x:f>
        <x:v>耗茶量：约30万吨</x:v>
      </x:c>
      <x:c r="H19" s="23" t="str">
        <x:f>'03_产品应用'!T7</x:f>
        <x:v>年轻消费｜场景创新</x:v>
      </x:c>
    </x:row>
    <x:row r="20" ht="58" customHeight="1">
      <x:c r="A20" s="23" t="str">
        <x:f>'03_产品应用'!C8</x:f>
        <x:v>即饮及无糖茶</x:v>
      </x:c>
      <x:c r="B20" s="23" t="str">
        <x:f>'03_产品应用'!D8</x:f>
        <x:v>预包装、开瓶即饮，健康化和无糖化趋势明显。</x:v>
      </x:c>
      <x:c r="C20" s="23" t="str">
        <x:f>'03_产品应用'!E8</x:f>
        <x:v>无糖茶｜调味茶｜瓶装茶</x:v>
      </x:c>
      <x:c r="D20" s="23" t="str">
        <x:f>'03_产品应用'!F8</x:f>
        <x:v>quantitative</x:v>
      </x:c>
      <x:c r="E20" s="23" t="str">
        <x:f>IF('03_产品应用'!H8="","",'03_产品应用'!G8&amp;"："&amp;IF('03_产品应用'!J8="about","约",IF('03_产品应用'!J8="greater_than","超",""))&amp;ROUND('03_产品应用'!H8,2)&amp;'03_产品应用'!I8)</x:f>
        <x:v>市场规模：约600亿元</x:v>
      </x:c>
      <x:c r="F20" s="23" t="str">
        <x:f>IF('03_产品应用'!L8="","",'03_产品应用'!K8&amp;"："&amp;IF('03_产品应用'!N8="about","约",IF('03_产品应用'!N8="greater_than","超",""))&amp;ROUND('03_产品应用'!L8,2)&amp;'03_产品应用'!M8)</x:f>
        <x:v>总产量：超2000万吨</x:v>
      </x:c>
      <x:c r="G20" s="23" t="str">
        <x:f>IF('03_产品应用'!P8="","",'03_产品应用'!O8&amp;"："&amp;IF('03_产品应用'!R8="about","约",IF('03_产品应用'!R8="greater_than","超",""))&amp;ROUND('03_产品应用'!P8,2)&amp;'03_产品应用'!Q8)</x:f>
      </x:c>
      <x:c r="H20" s="23" t="str">
        <x:f>'03_产品应用'!T8</x:f>
        <x:v>健康化｜即饮化</x:v>
      </x:c>
    </x:row>
    <x:row r="21" ht="58" customHeight="1">
      <x:c r="A21" s="23" t="str">
        <x:f>'03_产品应用'!C9</x:f>
        <x:v>茶食品</x:v>
      </x:c>
      <x:c r="B21" s="23" t="str">
        <x:f>'03_产品应用'!D9</x:f>
        <x:v>茶作为风味或功能成分进入食品消费场景。</x:v>
      </x:c>
      <x:c r="C21" s="23" t="str">
        <x:f>'03_产品应用'!E9</x:f>
        <x:v>茶糕点｜茶糖果｜茶冰淇淋｜茶啤酒</x:v>
      </x:c>
      <x:c r="D21" s="23" t="str">
        <x:f>'03_产品应用'!F9</x:f>
        <x:v>information</x:v>
      </x:c>
      <x:c r="E21" s="23" t="str">
        <x:f>IF('03_产品应用'!H9="","",'03_产品应用'!G9&amp;"："&amp;IF('03_产品应用'!J9="about","约",IF('03_产品应用'!J9="greater_than","超",""))&amp;ROUND('03_产品应用'!H9,2)&amp;'03_产品应用'!I9)</x:f>
      </x:c>
      <x:c r="F21" s="23" t="str">
        <x:f>IF('03_产品应用'!L9="","",'03_产品应用'!K9&amp;"："&amp;IF('03_产品应用'!N9="about","约",IF('03_产品应用'!N9="greater_than","超",""))&amp;ROUND('03_产品应用'!L9,2)&amp;'03_产品应用'!M9)</x:f>
      </x:c>
      <x:c r="G21" s="23" t="str">
        <x:f>IF('03_产品应用'!P9="","",'03_产品应用'!O9&amp;"："&amp;IF('03_产品应用'!R9="about","约",IF('03_产品应用'!R9="greater_than","超",""))&amp;ROUND('03_产品应用'!P9,2)&amp;'03_产品应用'!Q9)</x:f>
      </x:c>
      <x:c r="H21" s="23" t="str">
        <x:f>'03_产品应用'!T9</x:f>
        <x:v>跨界融合｜风味创新</x:v>
      </x:c>
    </x:row>
    <x:row r="22" ht="58" customHeight="1">
      <x:c r="A22" s="23" t="str">
        <x:f>'03_产品应用'!C10</x:f>
        <x:v>精深应用</x:v>
      </x:c>
      <x:c r="B22" s="23" t="str">
        <x:f>'03_产品应用'!D10</x:f>
        <x:v>提取茶叶有效成分，延伸至健康、日化和美妆等产品。</x:v>
      </x:c>
      <x:c r="C22" s="23" t="str">
        <x:f>'03_产品应用'!E10</x:f>
        <x:v>茶多酚｜茶氨酸｜茶提取物｜日化美妆</x:v>
      </x:c>
      <x:c r="D22" s="23" t="str">
        <x:f>'03_产品应用'!F10</x:f>
        <x:v>information</x:v>
      </x:c>
      <x:c r="E22" s="23" t="str">
        <x:f>IF('03_产品应用'!H10="","",'03_产品应用'!G10&amp;"："&amp;IF('03_产品应用'!J10="about","约",IF('03_产品应用'!J10="greater_than","超",""))&amp;ROUND('03_产品应用'!H10,2)&amp;'03_产品应用'!I10)</x:f>
      </x:c>
      <x:c r="F22" s="23" t="str">
        <x:f>IF('03_产品应用'!L10="","",'03_产品应用'!K10&amp;"："&amp;IF('03_产品应用'!N10="about","约",IF('03_产品应用'!N10="greater_than","超",""))&amp;ROUND('03_产品应用'!L10,2)&amp;'03_产品应用'!M10)</x:f>
      </x:c>
      <x:c r="G22" s="23" t="str">
        <x:f>IF('03_产品应用'!P10="","",'03_产品应用'!O10&amp;"："&amp;IF('03_产品应用'!R10="about","约",IF('03_产品应用'!R10="greater_than","超",""))&amp;ROUND('03_产品应用'!P10,2)&amp;'03_产品应用'!Q10)</x:f>
      </x:c>
      <x:c r="H22" s="23" t="str">
        <x:f>'03_产品应用'!T10</x:f>
        <x:v>精深加工｜应用延伸</x:v>
      </x:c>
    </x:row>
    <x:row r="23">
      <x:c r="A23" s="81"/>
      <x:c r="B23" s="81"/>
      <x:c r="C23" s="81"/>
      <x:c r="D23" s="81"/>
      <x:c r="E23" s="81"/>
      <x:c r="F23" s="81"/>
      <x:c r="G23" s="81"/>
      <x:c r="H23" s="81"/>
    </x:row>
    <x:row r="24">
      <x:c r="A24" s="26" t="str">
        <x:v>三、2019—2024年原叶茶内销趋势</x:v>
      </x:c>
      <x:c r="B24" s="26"/>
      <x:c r="C24" s="26"/>
      <x:c r="D24" s="26"/>
      <x:c r="E24" s="26"/>
      <x:c r="F24" s="26"/>
      <x:c r="G24" s="26"/>
      <x:c r="H24" s="26"/>
    </x:row>
    <x:row r="25">
      <x:c r="A25" s="81"/>
      <x:c r="B25" s="81"/>
      <x:c r="C25" s="81"/>
      <x:c r="D25" s="81"/>
      <x:c r="E25" s="81"/>
      <x:c r="F25" s="81"/>
      <x:c r="G25" s="81"/>
      <x:c r="H25" s="81"/>
    </x:row>
    <x:row r="26" ht="32" customHeight="1">
      <x:c r="A26" s="14" t="str">
        <x:v>年份</x:v>
      </x:c>
      <x:c r="B26" s="30" t="str">
        <x:v>内销量/万吨</x:v>
      </x:c>
      <x:c r="C26" s="30" t="str">
        <x:v>内销额/亿元</x:v>
      </x:c>
      <x:c r="D26" s="30" t="str">
        <x:v>均价/元·kg⁻¹</x:v>
      </x:c>
      <x:c r="E26" s="30" t="str">
        <x:v>内销量同比</x:v>
      </x:c>
      <x:c r="F26" s="15" t="str">
        <x:v>内销额同比</x:v>
      </x:c>
      <x:c r="G26" s="81"/>
      <x:c r="H26" s="81"/>
    </x:row>
    <x:row r="27">
      <x:c r="A27" s="31" t="n">
        <x:f>'04_内销趋势'!A5</x:f>
        <x:v>2019</x:v>
      </x:c>
      <x:c r="B27" s="33" t="n">
        <x:f>'04_内销趋势'!B5</x:f>
        <x:v>202.56</x:v>
      </x:c>
      <x:c r="C27" s="33" t="n">
        <x:f>'04_内销趋势'!C5</x:f>
        <x:v>2739.5</x:v>
      </x:c>
      <x:c r="D27" s="33" t="n">
        <x:f>'04_内销趋势'!D5</x:f>
        <x:v>135.24387835703</x:v>
      </x:c>
      <x:c r="E27" s="35" t="str">
        <x:f>IF('04_内销趋势'!E5="","",'04_内销趋势'!E5)</x:f>
      </x:c>
      <x:c r="F27" s="35" t="str">
        <x:f>IF('04_内销趋势'!F5="","",'04_内销趋势'!F5)</x:f>
      </x:c>
      <x:c r="G27" s="81"/>
      <x:c r="H27" s="81"/>
    </x:row>
    <x:row r="28">
      <x:c r="A28" s="32" t="n">
        <x:f>'04_内销趋势'!A6</x:f>
        <x:v>2020</x:v>
      </x:c>
      <x:c r="B28" s="34" t="n">
        <x:f>'04_内销趋势'!B6</x:f>
        <x:v>220.16</x:v>
      </x:c>
      <x:c r="C28" s="34" t="n">
        <x:f>'04_内销趋势'!C6</x:f>
        <x:v>2888.84</x:v>
      </x:c>
      <x:c r="D28" s="34" t="n">
        <x:f>'04_内销趋势'!D6</x:f>
        <x:v>131.2154796511628</x:v>
      </x:c>
      <x:c r="E28" s="36" t="n">
        <x:f>IF('04_内销趋势'!E6="","",'04_内销趋势'!E6)</x:f>
        <x:v>0.08688783570300163</x:v>
      </x:c>
      <x:c r="F28" s="36" t="n">
        <x:f>IF('04_内销趋势'!F6="","",'04_内销趋势'!F6)</x:f>
        <x:v>0.054513597371783185</x:v>
      </x:c>
      <x:c r="G28" s="81"/>
      <x:c r="H28" s="81"/>
    </x:row>
    <x:row r="29">
      <x:c r="A29" s="32" t="n">
        <x:f>'04_内销趋势'!A7</x:f>
        <x:v>2021</x:v>
      </x:c>
      <x:c r="B29" s="34" t="n">
        <x:f>'04_内销趋势'!B7</x:f>
        <x:v>230.19</x:v>
      </x:c>
      <x:c r="C29" s="34" t="n">
        <x:f>'04_内销趋势'!C7</x:f>
        <x:v>3120</x:v>
      </x:c>
      <x:c r="D29" s="34" t="n">
        <x:f>'04_内销趋势'!D7</x:f>
        <x:v>135.5402059168513</x:v>
      </x:c>
      <x:c r="E29" s="36" t="n">
        <x:f>IF('04_内销趋势'!E7="","",'04_内销趋势'!E7)</x:f>
        <x:v>0.045557776162790775</x:v>
      </x:c>
      <x:c r="F29" s="36" t="n">
        <x:f>IF('04_内销趋势'!F7="","",'04_内销趋势'!F7)</x:f>
        <x:v>0.08001827723238386</x:v>
      </x:c>
      <x:c r="G29" s="81"/>
      <x:c r="H29" s="81"/>
    </x:row>
    <x:row r="30">
      <x:c r="A30" s="32" t="n">
        <x:f>'04_内销趋势'!A8</x:f>
        <x:v>2022</x:v>
      </x:c>
      <x:c r="B30" s="34" t="n">
        <x:f>'04_内销趋势'!B8</x:f>
        <x:v>239.75</x:v>
      </x:c>
      <x:c r="C30" s="34" t="n">
        <x:f>'04_内销趋势'!C8</x:f>
        <x:v>3395.27</x:v>
      </x:c>
      <x:c r="D30" s="34" t="n">
        <x:f>'04_内销趋势'!D8</x:f>
        <x:v>141.61710114702814</x:v>
      </x:c>
      <x:c r="E30" s="36" t="n">
        <x:f>IF('04_内销趋势'!E8="","",'04_内销趋势'!E8)</x:f>
        <x:v>0.041530909248881365</x:v>
      </x:c>
      <x:c r="F30" s="36" t="n">
        <x:f>IF('04_内销趋势'!F8="","",'04_内销趋势'!F8)</x:f>
        <x:v>0.08822756410256405</x:v>
      </x:c>
      <x:c r="G30" s="81"/>
      <x:c r="H30" s="81"/>
    </x:row>
    <x:row r="31">
      <x:c r="A31" s="32" t="n">
        <x:f>'04_内销趋势'!A9</x:f>
        <x:v>2023</x:v>
      </x:c>
      <x:c r="B31" s="34" t="n">
        <x:f>'04_内销趋势'!B9</x:f>
        <x:v>240.4</x:v>
      </x:c>
      <x:c r="C31" s="34" t="n">
        <x:f>'04_内销趋势'!C9</x:f>
        <x:v>3346.7</x:v>
      </x:c>
      <x:c r="D31" s="34" t="n">
        <x:f>'04_内销趋势'!D9</x:f>
        <x:v>139.21381031613976</x:v>
      </x:c>
      <x:c r="E31" s="36" t="n">
        <x:f>IF('04_内销趋势'!E9="","",'04_内销趋势'!E9)</x:f>
        <x:v>0.0027111574556830664</x:v>
      </x:c>
      <x:c r="F31" s="36" t="n">
        <x:f>IF('04_内销趋势'!F9="","",'04_内销趋势'!F9)</x:f>
        <x:v>-0.01430519516857276</x:v>
      </x:c>
      <x:c r="G31" s="81"/>
      <x:c r="H31" s="81"/>
    </x:row>
    <x:row r="32">
      <x:c r="A32" s="32" t="n">
        <x:f>'04_内销趋势'!A10</x:f>
        <x:v>2024</x:v>
      </x:c>
      <x:c r="B32" s="34" t="n">
        <x:f>'04_内销趋势'!B10</x:f>
        <x:v>241.27</x:v>
      </x:c>
      <x:c r="C32" s="34" t="n">
        <x:f>'04_内销趋势'!C10</x:f>
        <x:v>3257.55</x:v>
      </x:c>
      <x:c r="D32" s="34" t="n">
        <x:f>'04_内销趋势'!D10</x:f>
        <x:v>135.016786173167</x:v>
      </x:c>
      <x:c r="E32" s="36" t="n">
        <x:f>IF('04_内销趋势'!E10="","",'04_内销趋势'!E10)</x:f>
        <x:v>0.003618968386023269</x:v>
      </x:c>
      <x:c r="F32" s="36" t="n">
        <x:f>IF('04_内销趋势'!F10="","",'04_内销趋势'!F10)</x:f>
        <x:v>-0.02663818089461245</x:v>
      </x:c>
      <x:c r="G32" s="81"/>
      <x:c r="H32" s="81"/>
    </x:row>
    <x:row r="33">
      <x:c r="A33" s="81"/>
      <x:c r="B33" s="81"/>
      <x:c r="C33" s="81"/>
      <x:c r="D33" s="81"/>
      <x:c r="E33" s="81"/>
      <x:c r="F33" s="81"/>
      <x:c r="G33" s="81"/>
      <x:c r="H33" s="81"/>
    </x:row>
    <x:row r="34">
      <x:c r="A34" s="26" t="str">
        <x:v>四、茶叶线上消费趋势</x:v>
      </x:c>
      <x:c r="B34" s="26"/>
      <x:c r="C34" s="26"/>
      <x:c r="D34" s="26"/>
      <x:c r="E34" s="26"/>
      <x:c r="F34" s="26"/>
      <x:c r="G34" s="26"/>
      <x:c r="H34" s="26"/>
    </x:row>
    <x:row r="35">
      <x:c r="A35" s="81"/>
      <x:c r="B35" s="81"/>
      <x:c r="C35" s="81"/>
      <x:c r="D35" s="81"/>
      <x:c r="E35" s="81"/>
      <x:c r="F35" s="81"/>
      <x:c r="G35" s="81"/>
      <x:c r="H35" s="81"/>
    </x:row>
    <x:row r="36" ht="32" customHeight="1">
      <x:c r="A36" s="14" t="str">
        <x:v>年份</x:v>
      </x:c>
      <x:c r="B36" s="30" t="str">
        <x:v>数值/亿元</x:v>
      </x:c>
      <x:c r="C36" s="30" t="str">
        <x:v>网页展示</x:v>
      </x:c>
      <x:c r="D36" s="15" t="str">
        <x:v>数据口径</x:v>
      </x:c>
      <x:c r="E36" s="81"/>
      <x:c r="F36" s="81"/>
      <x:c r="G36" s="81"/>
      <x:c r="H36" s="81"/>
    </x:row>
    <x:row r="37">
      <x:c r="A37" s="41" t="n">
        <x:f>'05_线上趋势'!A5</x:f>
        <x:v>2020</x:v>
      </x:c>
      <x:c r="B37" s="41" t="n">
        <x:f>'05_线上趋势'!B5</x:f>
        <x:v>280</x:v>
      </x:c>
      <x:c r="C37" s="22" t="str">
        <x:f>'05_线上趋势'!D5</x:f>
        <x:v>约280亿元</x:v>
      </x:c>
      <x:c r="D37" s="22" t="str">
        <x:f>'05_线上趋势'!C5</x:f>
        <x:v>about</x:v>
      </x:c>
      <x:c r="E37" s="81"/>
      <x:c r="F37" s="81"/>
      <x:c r="G37" s="81"/>
      <x:c r="H37" s="81"/>
    </x:row>
    <x:row r="38">
      <x:c r="A38" s="42" t="n">
        <x:f>'05_线上趋势'!A6</x:f>
        <x:v>2022</x:v>
      </x:c>
      <x:c r="B38" s="42" t="n">
        <x:f>'05_线上趋势'!B6</x:f>
        <x:v>330</x:v>
      </x:c>
      <x:c r="C38" s="23" t="str">
        <x:f>'05_线上趋势'!D6</x:f>
        <x:v>超330亿元</x:v>
      </x:c>
      <x:c r="D38" s="23" t="str">
        <x:f>'05_线上趋势'!C6</x:f>
        <x:v>greater_than</x:v>
      </x:c>
      <x:c r="E38" s="81"/>
      <x:c r="F38" s="81"/>
      <x:c r="G38" s="81"/>
      <x:c r="H38" s="81"/>
    </x:row>
    <x:row r="39">
      <x:c r="A39" s="42" t="n">
        <x:f>'05_线上趋势'!A7</x:f>
        <x:v>2023</x:v>
      </x:c>
      <x:c r="B39" s="42" t="n">
        <x:f>'05_线上趋势'!B7</x:f>
        <x:v>350</x:v>
      </x:c>
      <x:c r="C39" s="23" t="str">
        <x:f>'05_线上趋势'!D7</x:f>
        <x:v>超350亿元</x:v>
      </x:c>
      <x:c r="D39" s="23" t="str">
        <x:f>'05_线上趋势'!C7</x:f>
        <x:v>greater_than</x:v>
      </x:c>
      <x:c r="E39" s="81"/>
      <x:c r="F39" s="81"/>
      <x:c r="G39" s="81"/>
      <x:c r="H39" s="81"/>
    </x:row>
    <x:row r="40">
      <x:c r="A40" s="42" t="n">
        <x:f>'05_线上趋势'!A8</x:f>
        <x:v>2024</x:v>
      </x:c>
      <x:c r="B40" s="42" t="n">
        <x:f>'05_线上趋势'!B8</x:f>
        <x:v>370</x:v>
      </x:c>
      <x:c r="C40" s="23" t="str">
        <x:f>'05_线上趋势'!D8</x:f>
        <x:v>约370亿元</x:v>
      </x:c>
      <x:c r="D40" s="23" t="str">
        <x:f>'05_线上趋势'!C8</x:f>
        <x:v>about</x:v>
      </x:c>
      <x:c r="E40" s="81"/>
      <x:c r="F40" s="81"/>
      <x:c r="G40" s="81"/>
      <x:c r="H40" s="81"/>
    </x:row>
    <x:row r="42" ht="34" customHeight="1">
      <x:c r="A42" s="80" t="str">
        <x:v>完整来源链接位于02—05工作表；完整修改提示词位于07_Agent提示词。把本工作簿与提示词一起提供给能够读取附件和项目文件的Agent即可。</x:v>
      </x:c>
      <x:c r="B42" s="80"/>
      <x:c r="C42" s="80"/>
      <x:c r="D42" s="80"/>
      <x:c r="E42" s="80"/>
      <x:c r="F42" s="80"/>
      <x:c r="G42" s="80"/>
      <x:c r="H42" s="80"/>
    </x:row>
    <x:row r="43" ht="34" customHeight="1">
      <x:c r="A43" s="80"/>
      <x:c r="B43" s="80"/>
      <x:c r="C43" s="80"/>
      <x:c r="D43" s="80"/>
      <x:c r="E43" s="80"/>
      <x:c r="F43" s="80"/>
      <x:c r="G43" s="80"/>
      <x:c r="H43" s="80"/>
    </x:row>
  </x:sheetData>
  <x:mergeCells>
    <x:mergeCell ref="A1:H2"/>
    <x:mergeCell ref="A4:H4"/>
    <x:mergeCell ref="A6:H6"/>
    <x:mergeCell ref="A14:H14"/>
    <x:mergeCell ref="A24:H24"/>
    <x:mergeCell ref="A34:H34"/>
    <x:mergeCell ref="A42:H43"/>
  </x:mergeCells>
  <x:pageMargins left="0.7" right="0.7" top="0.75" bottom="0.75" header="0.3" footer="0.3"/>
  <x:tableParts count="4">
    <x:tablePart xmlns:r="http://schemas.openxmlformats.org/officeDocument/2006/relationships" r:id="R9c4df07648c84d29"/>
    <x:tablePart xmlns:r="http://schemas.openxmlformats.org/officeDocument/2006/relationships" r:id="Rbda32088aede4b29"/>
    <x:tablePart xmlns:r="http://schemas.openxmlformats.org/officeDocument/2006/relationships" r:id="R4b5c99d95f724c2b"/>
    <x:tablePart xmlns:r="http://schemas.openxmlformats.org/officeDocument/2006/relationships" r:id="R25b3dbe34544403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</x:cols>
  <x:sheetData>
    <x:row r="1" ht="42" customHeight="1">
      <x:c r="A1" s="5" t="str">
        <x:v>叶片·现代茶产品应用结构与消费趋势
网页数据表与 Agent 实现说明</x:v>
      </x:c>
      <x:c r="B1" s="5" t="str">
        <x:v>叶片·现代茶产品应用结构与消费趋势
网页数据表与 Agent 实现说明</x:v>
      </x:c>
      <x:c r="C1" s="5" t="str">
        <x:v>叶片·现代茶产品应用结构与消费趋势
网页数据表与 Agent 实现说明</x:v>
      </x:c>
      <x:c r="D1" s="5" t="str">
        <x:v>叶片·现代茶产品应用结构与消费趋势
网页数据表与 Agent 实现说明</x:v>
      </x:c>
      <x:c r="E1" s="5" t="str">
        <x:v>叶片·现代茶产品应用结构与消费趋势
网页数据表与 Agent 实现说明</x:v>
      </x:c>
      <x:c r="F1" s="5" t="str">
        <x:v>叶片·现代茶产品应用结构与消费趋势
网页数据表与 Agent 实现说明</x:v>
      </x:c>
      <x:c r="G1" s="5" t="str">
        <x:v>叶片·现代茶产品应用结构与消费趋势
网页数据表与 Agent 实现说明</x:v>
      </x:c>
      <x:c r="H1" s="5" t="str">
        <x:v>叶片·现代茶产品应用结构与消费趋势
网页数据表与 Agent 实现说明</x:v>
      </x:c>
    </x:row>
    <x:row r="2" ht="42" customHeight="1">
      <x:c r="A2" s="5" t="str">
        <x:v>叶片·现代茶产品应用结构与消费趋势
网页数据表与 Agent 实现说明</x:v>
      </x:c>
      <x:c r="B2" s="5" t="str">
        <x:v>叶片·现代茶产品应用结构与消费趋势
网页数据表与 Agent 实现说明</x:v>
      </x:c>
      <x:c r="C2" s="5" t="str">
        <x:v>叶片·现代茶产品应用结构与消费趋势
网页数据表与 Agent 实现说明</x:v>
      </x:c>
      <x:c r="D2" s="5" t="str">
        <x:v>叶片·现代茶产品应用结构与消费趋势
网页数据表与 Agent 实现说明</x:v>
      </x:c>
      <x:c r="E2" s="5" t="str">
        <x:v>叶片·现代茶产品应用结构与消费趋势
网页数据表与 Agent 实现说明</x:v>
      </x:c>
      <x:c r="F2" s="5" t="str">
        <x:v>叶片·现代茶产品应用结构与消费趋势
网页数据表与 Agent 实现说明</x:v>
      </x:c>
      <x:c r="G2" s="5" t="str">
        <x:v>叶片·现代茶产品应用结构与消费趋势
网页数据表与 Agent 实现说明</x:v>
      </x:c>
      <x:c r="H2" s="5" t="str">
        <x:v>叶片·现代茶产品应用结构与消费趋势
网页数据表与 Agent 实现说明</x:v>
      </x:c>
    </x:row>
    <x:row r="4" ht="34" customHeight="1">
      <x:c r="A4" s="14" t="str">
        <x:v>项目</x:v>
      </x:c>
      <x:c r="B4" s="15" t="str">
        <x:v>说明</x:v>
      </x:c>
    </x:row>
    <x:row r="5" ht="34" customHeight="1">
      <x:c r="A5" s="22" t="str">
        <x:v>修改对象</x:v>
      </x:c>
      <x:c r="B5" s="22" t="str">
        <x:v>仅修改点击茶树叶片后，右侧手机内部出现的瀑布流内容。</x:v>
      </x:c>
    </x:row>
    <x:row r="6" ht="34" customHeight="1">
      <x:c r="A6" s="23" t="str">
        <x:v>主题</x:v>
      </x:c>
      <x:c r="B6" s="23" t="str">
        <x:v>现代茶产品应用结构与消费趋势。</x:v>
      </x:c>
    </x:row>
    <x:row r="7" ht="34" customHeight="1">
      <x:c r="A7" s="23" t="str">
        <x:v>数据年份</x:v>
      </x:c>
      <x:c r="B7" s="23" t="str">
        <x:v>2024年产业快照；2019—2024年原叶茶内销趋势。</x:v>
      </x:c>
    </x:row>
    <x:row r="8" ht="34" customHeight="1">
      <x:c r="A8" s="23" t="str">
        <x:v>运行时建议</x:v>
      </x:c>
      <x:c r="B8" s="23" t="str">
        <x:v>不要在网页运行时直接读取 Excel。由 Agent 将本工作簿相关工作表转成项目现有数据组织方式（JS/JSON/TS）。</x:v>
      </x:c>
    </x:row>
    <x:row r="9" ht="34" customHeight="1">
      <x:c r="A9" s="23" t="str">
        <x:v>数值口径</x:v>
      </x:c>
      <x:c r="B9" s="23" t="str">
        <x:v>qualifier=exact 为统计值；about 为约数；greater_than 为下限值；information 表示仅作信息卡、不绘制数值占比。</x:v>
      </x:c>
    </x:row>
    <x:row r="10" ht="34" customHeight="1">
      <x:c r="A10" s="23" t="str">
        <x:v>重要限制</x:v>
      </x:c>
      <x:c r="B10" s="23" t="str">
        <x:v>不同产品赛道统计口径不同，禁止将原叶茶、新茶饮、即饮茶数据合并绘制成市场份额饼图。</x:v>
      </x:c>
    </x:row>
    <x:row r="12">
      <x:c r="A12" s="26" t="str">
        <x:v>工作表索引</x:v>
      </x:c>
      <x:c r="B12" s="26"/>
      <x:c r="C12" s="26"/>
      <x:c r="D12" s="26"/>
      <x:c r="E12" s="26"/>
      <x:c r="F12" s="26"/>
      <x:c r="G12" s="26"/>
      <x:c r="H12" s="26"/>
    </x:row>
    <x:row r="14" ht="30" customHeight="1">
      <x:c r="A14" s="14" t="str">
        <x:v>工作表</x:v>
      </x:c>
      <x:c r="B14" s="30" t="str">
        <x:v>用途</x:v>
      </x:c>
      <x:c r="C14" s="15" t="str">
        <x:v>建议网页组件</x:v>
      </x:c>
    </x:row>
    <x:row r="15" ht="30" customHeight="1">
      <x:c r="A15" s="22" t="str">
        <x:v>02_核心指标</x:v>
      </x:c>
      <x:c r="B15" s="22" t="str">
        <x:v>2024年顶部2×2指标卡</x:v>
      </x:c>
      <x:c r="C15" s="22" t="str">
        <x:v>KPI cards</x:v>
      </x:c>
    </x:row>
    <x:row r="16" ht="30" customHeight="1">
      <x:c r="A16" s="23" t="str">
        <x:v>03_产品应用</x:v>
      </x:c>
      <x:c r="B16" s="23" t="str">
        <x:v>六类现代茶产品应用卡</x:v>
      </x:c>
      <x:c r="C16" s="23" t="str">
        <x:v>2×3 application grid</x:v>
      </x:c>
    </x:row>
    <x:row r="17" ht="30" customHeight="1">
      <x:c r="A17" s="23" t="str">
        <x:v>04_内销趋势</x:v>
      </x:c>
      <x:c r="B17" s="23" t="str">
        <x:v>2019—2024年内销量、内销额、均价</x:v>
      </x:c>
      <x:c r="C17" s="23" t="str">
        <x:v>dual-axis line chart</x:v>
      </x:c>
    </x:row>
    <x:row r="18" ht="30" customHeight="1">
      <x:c r="A18" s="23" t="str">
        <x:v>05_线上趋势</x:v>
      </x:c>
      <x:c r="B18" s="23" t="str">
        <x:v>线上交易/零售额节点数据</x:v>
      </x:c>
      <x:c r="C18" s="23" t="str">
        <x:v>year bars / timeline</x:v>
      </x:c>
    </x:row>
    <x:row r="19" ht="30" customHeight="1">
      <x:c r="A19" s="23" t="str">
        <x:v>06_字段说明</x:v>
      </x:c>
      <x:c r="B19" s="23" t="str">
        <x:v>字段类型、口径与前端使用方法</x:v>
      </x:c>
      <x:c r="C19" s="23" t="str">
        <x:v>data mapping</x:v>
      </x:c>
    </x:row>
    <x:row r="20" ht="30" customHeight="1">
      <x:c r="A20" s="23" t="str">
        <x:v>07_Agent提示词</x:v>
      </x:c>
      <x:c r="B20" s="23" t="str">
        <x:v>可直接复制给网页 Agent 的修改要求</x:v>
      </x:c>
      <x:c r="C20" s="23" t="str">
        <x:v>implementation prompt</x:v>
      </x:c>
    </x:row>
  </x:sheetData>
  <x:mergeCells>
    <x:mergeCell ref="A1:H2"/>
    <x:mergeCell ref="A12:H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20" hidden="0" customWidth="1"/>
    <x:col min="4" max="4" width="25" hidden="0" customWidth="1"/>
    <x:col min="5" max="5" width="16" hidden="0" customWidth="1"/>
    <x:col min="6" max="6" width="12" hidden="0" customWidth="1"/>
    <x:col min="7" max="7" width="16" hidden="0" customWidth="1"/>
    <x:col min="8" max="8" width="18" hidden="0" customWidth="1"/>
    <x:col min="9" max="9" width="10" hidden="0" customWidth="1"/>
    <x:col min="10" max="10" width="14" hidden="0" customWidth="1"/>
    <x:col min="11" max="11" width="24" hidden="0" customWidth="1"/>
    <x:col min="12" max="12" width="70" hidden="0" customWidth="1"/>
  </x:cols>
  <x:sheetData>
    <x:row r="1" ht="42" customHeight="1">
      <x:c r="A1" s="5" t="str">
        <x:v>2024年叶片页面核心指标
用于手机瀑布流顶部2×2数据卡</x:v>
      </x:c>
      <x:c r="B1" s="5" t="str">
        <x:v>2024年叶片页面核心指标
用于手机瀑布流顶部2×2数据卡</x:v>
      </x:c>
      <x:c r="C1" s="5" t="str">
        <x:v>2024年叶片页面核心指标
用于手机瀑布流顶部2×2数据卡</x:v>
      </x:c>
      <x:c r="D1" s="5" t="str">
        <x:v>2024年叶片页面核心指标
用于手机瀑布流顶部2×2数据卡</x:v>
      </x:c>
      <x:c r="E1" s="5" t="str">
        <x:v>2024年叶片页面核心指标
用于手机瀑布流顶部2×2数据卡</x:v>
      </x:c>
      <x:c r="F1" s="5" t="str">
        <x:v>2024年叶片页面核心指标
用于手机瀑布流顶部2×2数据卡</x:v>
      </x:c>
      <x:c r="G1" s="5" t="str">
        <x:v>2024年叶片页面核心指标
用于手机瀑布流顶部2×2数据卡</x:v>
      </x:c>
      <x:c r="H1" s="5" t="str">
        <x:v>2024年叶片页面核心指标
用于手机瀑布流顶部2×2数据卡</x:v>
      </x:c>
      <x:c r="I1" s="5" t="str">
        <x:v>2024年叶片页面核心指标
用于手机瀑布流顶部2×2数据卡</x:v>
      </x:c>
      <x:c r="J1" s="5" t="str">
        <x:v>2024年叶片页面核心指标
用于手机瀑布流顶部2×2数据卡</x:v>
      </x:c>
      <x:c r="K1" s="5" t="str">
        <x:v>2024年叶片页面核心指标
用于手机瀑布流顶部2×2数据卡</x:v>
      </x:c>
      <x:c r="L1" s="5" t="str">
        <x:v>2024年叶片页面核心指标
用于手机瀑布流顶部2×2数据卡</x:v>
      </x:c>
    </x:row>
    <x:row r="2" ht="42" customHeight="1">
      <x:c r="A2" s="5" t="str">
        <x:v>2024年叶片页面核心指标
用于手机瀑布流顶部2×2数据卡</x:v>
      </x:c>
      <x:c r="B2" s="5" t="str">
        <x:v>2024年叶片页面核心指标
用于手机瀑布流顶部2×2数据卡</x:v>
      </x:c>
      <x:c r="C2" s="5" t="str">
        <x:v>2024年叶片页面核心指标
用于手机瀑布流顶部2×2数据卡</x:v>
      </x:c>
      <x:c r="D2" s="5" t="str">
        <x:v>2024年叶片页面核心指标
用于手机瀑布流顶部2×2数据卡</x:v>
      </x:c>
      <x:c r="E2" s="5" t="str">
        <x:v>2024年叶片页面核心指标
用于手机瀑布流顶部2×2数据卡</x:v>
      </x:c>
      <x:c r="F2" s="5" t="str">
        <x:v>2024年叶片页面核心指标
用于手机瀑布流顶部2×2数据卡</x:v>
      </x:c>
      <x:c r="G2" s="5" t="str">
        <x:v>2024年叶片页面核心指标
用于手机瀑布流顶部2×2数据卡</x:v>
      </x:c>
      <x:c r="H2" s="5" t="str">
        <x:v>2024年叶片页面核心指标
用于手机瀑布流顶部2×2数据卡</x:v>
      </x:c>
      <x:c r="I2" s="5" t="str">
        <x:v>2024年叶片页面核心指标
用于手机瀑布流顶部2×2数据卡</x:v>
      </x:c>
      <x:c r="J2" s="5" t="str">
        <x:v>2024年叶片页面核心指标
用于手机瀑布流顶部2×2数据卡</x:v>
      </x:c>
      <x:c r="K2" s="5" t="str">
        <x:v>2024年叶片页面核心指标
用于手机瀑布流顶部2×2数据卡</x:v>
      </x:c>
      <x:c r="L2" s="5" t="str">
        <x:v>2024年叶片页面核心指标
用于手机瀑布流顶部2×2数据卡</x:v>
      </x:c>
    </x:row>
    <x:row r="4" ht="32" customHeight="1">
      <x:c r="A4" s="14" t="str">
        <x:v>metric_id</x:v>
      </x:c>
      <x:c r="B4" s="30" t="str">
        <x:v>card_order</x:v>
      </x:c>
      <x:c r="C4" s="30" t="str">
        <x:v>card_title</x:v>
      </x:c>
      <x:c r="D4" s="30" t="str">
        <x:v>metric_name</x:v>
      </x:c>
      <x:c r="E4" s="30" t="str">
        <x:v>metric_value</x:v>
      </x:c>
      <x:c r="F4" s="30" t="str">
        <x:v>unit</x:v>
      </x:c>
      <x:c r="G4" s="30" t="str">
        <x:v>qualifier</x:v>
      </x:c>
      <x:c r="H4" s="30" t="str">
        <x:v>display_value</x:v>
      </x:c>
      <x:c r="I4" s="30" t="str">
        <x:v>year</x:v>
      </x:c>
      <x:c r="J4" s="30" t="str">
        <x:v>icon_key</x:v>
      </x:c>
      <x:c r="K4" s="30" t="str">
        <x:v>source_name</x:v>
      </x:c>
      <x:c r="L4" s="15" t="str">
        <x:v>source_url</x:v>
      </x:c>
    </x:row>
    <x:row r="5" ht="42" customHeight="1">
      <x:c r="A5" s="22" t="str">
        <x:v>leaf_domestic_volume</x:v>
      </x:c>
      <x:c r="B5" s="31" t="n">
        <x:v>1</x:v>
      </x:c>
      <x:c r="C5" s="22" t="str">
        <x:v>原叶茶内销量</x:v>
      </x:c>
      <x:c r="D5" s="22" t="str">
        <x:v>国内销售量</x:v>
      </x:c>
      <x:c r="E5" s="33" t="n">
        <x:v>241.27</x:v>
      </x:c>
      <x:c r="F5" s="22" t="str">
        <x:v>万吨</x:v>
      </x:c>
      <x:c r="G5" s="22" t="str">
        <x:v>exact</x:v>
      </x:c>
      <x:c r="H5" s="22" t="str">
        <x:v>241.27万吨</x:v>
      </x:c>
      <x:c r="I5" s="31" t="n">
        <x:v>2024</x:v>
      </x:c>
      <x:c r="J5" s="22" t="str">
        <x:v>tea-cup</x:v>
      </x:c>
      <x:c r="K5" s="22" t="str">
        <x:v>中国茶叶流通协会</x:v>
      </x:c>
      <x:c r="L5" s="22" t="str">
        <x:v>https://www.news.cn/food/20250403/762ed35936a64a34b43c08b0c836da2a/c.html</x:v>
      </x:c>
    </x:row>
    <x:row r="6" ht="42" customHeight="1">
      <x:c r="A6" s="23" t="str">
        <x:v>leaf_domestic_value</x:v>
      </x:c>
      <x:c r="B6" s="32" t="n">
        <x:v>2</x:v>
      </x:c>
      <x:c r="C6" s="23" t="str">
        <x:v>原叶茶内销额</x:v>
      </x:c>
      <x:c r="D6" s="23" t="str">
        <x:v>国内销售额</x:v>
      </x:c>
      <x:c r="E6" s="34" t="n">
        <x:v>3257.55</x:v>
      </x:c>
      <x:c r="F6" s="23" t="str">
        <x:v>亿元</x:v>
      </x:c>
      <x:c r="G6" s="23" t="str">
        <x:v>exact</x:v>
      </x:c>
      <x:c r="H6" s="23" t="str">
        <x:v>3257.55亿元</x:v>
      </x:c>
      <x:c r="I6" s="32" t="n">
        <x:v>2024</x:v>
      </x:c>
      <x:c r="J6" s="23" t="str">
        <x:v>coins</x:v>
      </x:c>
      <x:c r="K6" s="23" t="str">
        <x:v>中国茶叶流通协会</x:v>
      </x:c>
      <x:c r="L6" s="23" t="str">
        <x:v>https://www.news.cn/food/20250403/762ed35936a64a34b43c08b0c836da2a/c.html</x:v>
      </x:c>
    </x:row>
    <x:row r="7" ht="42" customHeight="1">
      <x:c r="A7" s="23" t="str">
        <x:v>online_retail_value</x:v>
      </x:c>
      <x:c r="B7" s="32" t="n">
        <x:v>3</x:v>
      </x:c>
      <x:c r="C7" s="23" t="str">
        <x:v>线上零售额</x:v>
      </x:c>
      <x:c r="D7" s="23" t="str">
        <x:v>全国茶叶网上零售额</x:v>
      </x:c>
      <x:c r="E7" s="34" t="n">
        <x:v>370</x:v>
      </x:c>
      <x:c r="F7" s="23" t="str">
        <x:v>亿元</x:v>
      </x:c>
      <x:c r="G7" s="23" t="str">
        <x:v>about</x:v>
      </x:c>
      <x:c r="H7" s="23" t="str">
        <x:v>约370亿元</x:v>
      </x:c>
      <x:c r="I7" s="32" t="n">
        <x:v>2024</x:v>
      </x:c>
      <x:c r="J7" s="23" t="str">
        <x:v>mobile</x:v>
      </x:c>
      <x:c r="K7" s="23" t="str">
        <x:v>中国茶叶流通协会</x:v>
      </x:c>
      <x:c r="L7" s="23" t="str">
        <x:v>https://www.ctma.com.cn/xiehuidongtai/80691.html</x:v>
      </x:c>
    </x:row>
    <x:row r="8" ht="42" customHeight="1">
      <x:c r="A8" s="23" t="str">
        <x:v>livestream_value</x:v>
      </x:c>
      <x:c r="B8" s="32" t="n">
        <x:v>4</x:v>
      </x:c>
      <x:c r="C8" s="23" t="str">
        <x:v>直播电商交易额</x:v>
      </x:c>
      <x:c r="D8" s="23" t="str">
        <x:v>全国茶叶直播电商交易额</x:v>
      </x:c>
      <x:c r="E8" s="34" t="n">
        <x:v>150</x:v>
      </x:c>
      <x:c r="F8" s="23" t="str">
        <x:v>亿元</x:v>
      </x:c>
      <x:c r="G8" s="23" t="str">
        <x:v>greater_than</x:v>
      </x:c>
      <x:c r="H8" s="23" t="str">
        <x:v>超150亿元</x:v>
      </x:c>
      <x:c r="I8" s="32" t="n">
        <x:v>2024</x:v>
      </x:c>
      <x:c r="J8" s="23" t="str">
        <x:v>live</x:v>
      </x:c>
      <x:c r="K8" s="23" t="str">
        <x:v>中国茶叶流通协会</x:v>
      </x:c>
      <x:c r="L8" s="23" t="str">
        <x:v>https://www.ctma.com.cn/xiehuidongtai/80691.html</x:v>
      </x:c>
    </x:row>
  </x:sheetData>
  <x:mergeCells>
    <x:mergeCell ref="A1:L2"/>
  </x:mergeCells>
  <x:pageMargins left="0.7" right="0.7" top="0.75" bottom="0.75" header="0.3" footer="0.3"/>
  <x:tableParts count="1">
    <x:tablePart xmlns:r="http://schemas.openxmlformats.org/officeDocument/2006/relationships" r:id="R6d7f378e12ba49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42" hidden="0" customWidth="1"/>
    <x:col min="5" max="5" width="38" hidden="0" customWidth="1"/>
    <x:col min="6" max="6" width="16" hidden="0" customWidth="1"/>
    <x:col min="7" max="7" width="18" hidden="0" customWidth="1"/>
    <x:col min="8" max="8" width="15" hidden="0" customWidth="1"/>
    <x:col min="9" max="9" width="14" hidden="0" customWidth="1"/>
    <x:col min="10" max="10" width="18" hidden="0" customWidth="1"/>
    <x:col min="11" max="11" width="18" hidden="0" customWidth="1"/>
    <x:col min="12" max="12" width="15" hidden="0" customWidth="1"/>
    <x:col min="13" max="13" width="14" hidden="0" customWidth="1"/>
    <x:col min="14" max="14" width="18" hidden="0" customWidth="1"/>
    <x:col min="15" max="15" width="18" hidden="0" customWidth="1"/>
    <x:col min="16" max="16" width="15" hidden="0" customWidth="1"/>
    <x:col min="17" max="17" width="14" hidden="0" customWidth="1"/>
    <x:col min="18" max="18" width="18" hidden="0" customWidth="1"/>
    <x:col min="19" max="19" width="10" hidden="0" customWidth="1"/>
    <x:col min="20" max="20" width="24" hidden="0" customWidth="1"/>
    <x:col min="21" max="21" width="24" hidden="0" customWidth="1"/>
    <x:col min="22" max="22" width="70" hidden="0" customWidth="1"/>
  </x:cols>
  <x:sheetData>
    <x:row r="1" ht="42" customHeight="1">
      <x:c r="A1" s="5" t="str">
        <x:v>现代茶产品应用结构
六类等面积卡片；display_mode=information 的类别不得绘制数值占比</x:v>
      </x:c>
      <x:c r="B1" s="5" t="str">
        <x:v>现代茶产品应用结构
六类等面积卡片；display_mode=information 的类别不得绘制数值占比</x:v>
      </x:c>
      <x:c r="C1" s="5" t="str">
        <x:v>现代茶产品应用结构
六类等面积卡片；display_mode=information 的类别不得绘制数值占比</x:v>
      </x:c>
      <x:c r="D1" s="5" t="str">
        <x:v>现代茶产品应用结构
六类等面积卡片；display_mode=information 的类别不得绘制数值占比</x:v>
      </x:c>
      <x:c r="E1" s="5" t="str">
        <x:v>现代茶产品应用结构
六类等面积卡片；display_mode=information 的类别不得绘制数值占比</x:v>
      </x:c>
      <x:c r="F1" s="5" t="str">
        <x:v>现代茶产品应用结构
六类等面积卡片；display_mode=information 的类别不得绘制数值占比</x:v>
      </x:c>
      <x:c r="G1" s="5" t="str">
        <x:v>现代茶产品应用结构
六类等面积卡片；display_mode=information 的类别不得绘制数值占比</x:v>
      </x:c>
      <x:c r="H1" s="5" t="str">
        <x:v>现代茶产品应用结构
六类等面积卡片；display_mode=information 的类别不得绘制数值占比</x:v>
      </x:c>
      <x:c r="I1" s="5" t="str">
        <x:v>现代茶产品应用结构
六类等面积卡片；display_mode=information 的类别不得绘制数值占比</x:v>
      </x:c>
      <x:c r="J1" s="5" t="str">
        <x:v>现代茶产品应用结构
六类等面积卡片；display_mode=information 的类别不得绘制数值占比</x:v>
      </x:c>
      <x:c r="K1" s="5" t="str">
        <x:v>现代茶产品应用结构
六类等面积卡片；display_mode=information 的类别不得绘制数值占比</x:v>
      </x:c>
      <x:c r="L1" s="5" t="str">
        <x:v>现代茶产品应用结构
六类等面积卡片；display_mode=information 的类别不得绘制数值占比</x:v>
      </x:c>
      <x:c r="M1" s="5" t="str">
        <x:v>现代茶产品应用结构
六类等面积卡片；display_mode=information 的类别不得绘制数值占比</x:v>
      </x:c>
      <x:c r="N1" s="5" t="str">
        <x:v>现代茶产品应用结构
六类等面积卡片；display_mode=information 的类别不得绘制数值占比</x:v>
      </x:c>
      <x:c r="O1" s="5" t="str">
        <x:v>现代茶产品应用结构
六类等面积卡片；display_mode=information 的类别不得绘制数值占比</x:v>
      </x:c>
      <x:c r="P1" s="5" t="str">
        <x:v>现代茶产品应用结构
六类等面积卡片；display_mode=information 的类别不得绘制数值占比</x:v>
      </x:c>
      <x:c r="Q1" s="5" t="str">
        <x:v>现代茶产品应用结构
六类等面积卡片；display_mode=information 的类别不得绘制数值占比</x:v>
      </x:c>
      <x:c r="R1" s="5" t="str">
        <x:v>现代茶产品应用结构
六类等面积卡片；display_mode=information 的类别不得绘制数值占比</x:v>
      </x:c>
      <x:c r="S1" s="5" t="str">
        <x:v>现代茶产品应用结构
六类等面积卡片；display_mode=information 的类别不得绘制数值占比</x:v>
      </x:c>
      <x:c r="T1" s="5" t="str">
        <x:v>现代茶产品应用结构
六类等面积卡片；display_mode=information 的类别不得绘制数值占比</x:v>
      </x:c>
      <x:c r="U1" s="5" t="str">
        <x:v>现代茶产品应用结构
六类等面积卡片；display_mode=information 的类别不得绘制数值占比</x:v>
      </x:c>
      <x:c r="V1" s="5" t="str">
        <x:v>现代茶产品应用结构
六类等面积卡片；display_mode=information 的类别不得绘制数值占比</x:v>
      </x:c>
    </x:row>
    <x:row r="2" ht="42" customHeight="1">
      <x:c r="A2" s="5" t="str">
        <x:v>现代茶产品应用结构
六类等面积卡片；display_mode=information 的类别不得绘制数值占比</x:v>
      </x:c>
      <x:c r="B2" s="5" t="str">
        <x:v>现代茶产品应用结构
六类等面积卡片；display_mode=information 的类别不得绘制数值占比</x:v>
      </x:c>
      <x:c r="C2" s="5" t="str">
        <x:v>现代茶产品应用结构
六类等面积卡片；display_mode=information 的类别不得绘制数值占比</x:v>
      </x:c>
      <x:c r="D2" s="5" t="str">
        <x:v>现代茶产品应用结构
六类等面积卡片；display_mode=information 的类别不得绘制数值占比</x:v>
      </x:c>
      <x:c r="E2" s="5" t="str">
        <x:v>现代茶产品应用结构
六类等面积卡片；display_mode=information 的类别不得绘制数值占比</x:v>
      </x:c>
      <x:c r="F2" s="5" t="str">
        <x:v>现代茶产品应用结构
六类等面积卡片；display_mode=information 的类别不得绘制数值占比</x:v>
      </x:c>
      <x:c r="G2" s="5" t="str">
        <x:v>现代茶产品应用结构
六类等面积卡片；display_mode=information 的类别不得绘制数值占比</x:v>
      </x:c>
      <x:c r="H2" s="5" t="str">
        <x:v>现代茶产品应用结构
六类等面积卡片；display_mode=information 的类别不得绘制数值占比</x:v>
      </x:c>
      <x:c r="I2" s="5" t="str">
        <x:v>现代茶产品应用结构
六类等面积卡片；display_mode=information 的类别不得绘制数值占比</x:v>
      </x:c>
      <x:c r="J2" s="5" t="str">
        <x:v>现代茶产品应用结构
六类等面积卡片；display_mode=information 的类别不得绘制数值占比</x:v>
      </x:c>
      <x:c r="K2" s="5" t="str">
        <x:v>现代茶产品应用结构
六类等面积卡片；display_mode=information 的类别不得绘制数值占比</x:v>
      </x:c>
      <x:c r="L2" s="5" t="str">
        <x:v>现代茶产品应用结构
六类等面积卡片；display_mode=information 的类别不得绘制数值占比</x:v>
      </x:c>
      <x:c r="M2" s="5" t="str">
        <x:v>现代茶产品应用结构
六类等面积卡片；display_mode=information 的类别不得绘制数值占比</x:v>
      </x:c>
      <x:c r="N2" s="5" t="str">
        <x:v>现代茶产品应用结构
六类等面积卡片；display_mode=information 的类别不得绘制数值占比</x:v>
      </x:c>
      <x:c r="O2" s="5" t="str">
        <x:v>现代茶产品应用结构
六类等面积卡片；display_mode=information 的类别不得绘制数值占比</x:v>
      </x:c>
      <x:c r="P2" s="5" t="str">
        <x:v>现代茶产品应用结构
六类等面积卡片；display_mode=information 的类别不得绘制数值占比</x:v>
      </x:c>
      <x:c r="Q2" s="5" t="str">
        <x:v>现代茶产品应用结构
六类等面积卡片；display_mode=information 的类别不得绘制数值占比</x:v>
      </x:c>
      <x:c r="R2" s="5" t="str">
        <x:v>现代茶产品应用结构
六类等面积卡片；display_mode=information 的类别不得绘制数值占比</x:v>
      </x:c>
      <x:c r="S2" s="5" t="str">
        <x:v>现代茶产品应用结构
六类等面积卡片；display_mode=information 的类别不得绘制数值占比</x:v>
      </x:c>
      <x:c r="T2" s="5" t="str">
        <x:v>现代茶产品应用结构
六类等面积卡片；display_mode=information 的类别不得绘制数值占比</x:v>
      </x:c>
      <x:c r="U2" s="5" t="str">
        <x:v>现代茶产品应用结构
六类等面积卡片；display_mode=information 的类别不得绘制数值占比</x:v>
      </x:c>
      <x:c r="V2" s="5" t="str">
        <x:v>现代茶产品应用结构
六类等面积卡片；display_mode=information 的类别不得绘制数值占比</x:v>
      </x:c>
    </x:row>
    <x:row r="4" ht="32" customHeight="1">
      <x:c r="A4" s="14" t="str">
        <x:v>application_id</x:v>
      </x:c>
      <x:c r="B4" s="30" t="str">
        <x:v>card_order</x:v>
      </x:c>
      <x:c r="C4" s="30" t="str">
        <x:v>name</x:v>
      </x:c>
      <x:c r="D4" s="30" t="str">
        <x:v>short_description</x:v>
      </x:c>
      <x:c r="E4" s="30" t="str">
        <x:v>representative_products</x:v>
      </x:c>
      <x:c r="F4" s="30" t="str">
        <x:v>display_mode</x:v>
      </x:c>
      <x:c r="G4" s="30" t="str">
        <x:v>metric_1_name</x:v>
      </x:c>
      <x:c r="H4" s="30" t="str">
        <x:v>metric_1_value</x:v>
      </x:c>
      <x:c r="I4" s="30" t="str">
        <x:v>metric_1_unit</x:v>
      </x:c>
      <x:c r="J4" s="30" t="str">
        <x:v>metric_1_qualifier</x:v>
      </x:c>
      <x:c r="K4" s="30" t="str">
        <x:v>metric_2_name</x:v>
      </x:c>
      <x:c r="L4" s="30" t="str">
        <x:v>metric_2_value</x:v>
      </x:c>
      <x:c r="M4" s="30" t="str">
        <x:v>metric_2_unit</x:v>
      </x:c>
      <x:c r="N4" s="30" t="str">
        <x:v>metric_2_qualifier</x:v>
      </x:c>
      <x:c r="O4" s="30" t="str">
        <x:v>metric_3_name</x:v>
      </x:c>
      <x:c r="P4" s="30" t="str">
        <x:v>metric_3_value</x:v>
      </x:c>
      <x:c r="Q4" s="30" t="str">
        <x:v>metric_3_unit</x:v>
      </x:c>
      <x:c r="R4" s="30" t="str">
        <x:v>metric_3_qualifier</x:v>
      </x:c>
      <x:c r="S4" s="30" t="str">
        <x:v>year</x:v>
      </x:c>
      <x:c r="T4" s="30" t="str">
        <x:v>trend_tags</x:v>
      </x:c>
      <x:c r="U4" s="30" t="str">
        <x:v>source_name</x:v>
      </x:c>
      <x:c r="V4" s="15" t="str">
        <x:v>source_url</x:v>
      </x:c>
    </x:row>
    <x:row r="5" ht="58" customHeight="1">
      <x:c r="A5" s="22" t="str">
        <x:v>A01</x:v>
      </x:c>
      <x:c r="B5" s="31" t="n">
        <x:v>1</x:v>
      </x:c>
      <x:c r="C5" s="22" t="str">
        <x:v>原叶冲泡</x:v>
      </x:c>
      <x:c r="D5" s="22" t="str">
        <x:v>以散茶、紧压茶和小包装茶为主的传统冲泡消费。</x:v>
      </x:c>
      <x:c r="E5" s="22" t="str">
        <x:v>散茶｜紧压茶｜小包装茶</x:v>
      </x:c>
      <x:c r="F5" s="22" t="str">
        <x:v>quantitative</x:v>
      </x:c>
      <x:c r="G5" s="22" t="str">
        <x:v>内销量</x:v>
      </x:c>
      <x:c r="H5" s="33" t="n">
        <x:v>241.27</x:v>
      </x:c>
      <x:c r="I5" s="22" t="str">
        <x:v>万吨</x:v>
      </x:c>
      <x:c r="J5" s="22" t="str">
        <x:v>exact</x:v>
      </x:c>
      <x:c r="K5" s="22" t="str">
        <x:v>内销额</x:v>
      </x:c>
      <x:c r="L5" s="33" t="n">
        <x:v>3257.55</x:v>
      </x:c>
      <x:c r="M5" s="22" t="str">
        <x:v>亿元</x:v>
      </x:c>
      <x:c r="N5" s="22" t="str">
        <x:v>exact</x:v>
      </x:c>
      <x:c r="O5" s="22" t="str">
        <x:v>内销均价</x:v>
      </x:c>
      <x:c r="P5" s="33" t="n">
        <x:v>135.01</x:v>
      </x:c>
      <x:c r="Q5" s="22" t="str">
        <x:v>元/千克</x:v>
      </x:c>
      <x:c r="R5" s="22" t="str">
        <x:v>calculated</x:v>
      </x:c>
      <x:c r="S5" s="31" t="n">
        <x:v>2024</x:v>
      </x:c>
      <x:c r="T5" s="22" t="str">
        <x:v>基础市场｜消费稳定</x:v>
      </x:c>
      <x:c r="U5" s="22" t="str">
        <x:v>中国茶叶流通协会</x:v>
      </x:c>
      <x:c r="V5" s="22" t="str">
        <x:v>https://www.news.cn/food/20250403/762ed35936a64a34b43c08b0c836da2a/c.html</x:v>
      </x:c>
    </x:row>
    <x:row r="6" ht="58" customHeight="1">
      <x:c r="A6" s="23" t="str">
        <x:v>A02</x:v>
      </x:c>
      <x:c r="B6" s="32" t="n">
        <x:v>2</x:v>
      </x:c>
      <x:c r="C6" s="23" t="str">
        <x:v>便捷茶饮</x:v>
      </x:c>
      <x:c r="D6" s="23" t="str">
        <x:v>以便携、小包装和简化冲泡流程为特点。</x:v>
      </x:c>
      <x:c r="E6" s="23" t="str">
        <x:v>袋泡茶｜冷泡茶｜速溶茶</x:v>
      </x:c>
      <x:c r="F6" s="23" t="str">
        <x:v>information</x:v>
      </x:c>
      <x:c r="G6" s="23" t="str"/>
      <x:c r="H6" s="34"/>
      <x:c r="I6" s="23" t="str"/>
      <x:c r="J6" s="23" t="str">
        <x:v>information</x:v>
      </x:c>
      <x:c r="K6" s="23" t="str"/>
      <x:c r="L6" s="34"/>
      <x:c r="M6" s="23" t="str"/>
      <x:c r="N6" s="23" t="str">
        <x:v>information</x:v>
      </x:c>
      <x:c r="O6" s="23" t="str"/>
      <x:c r="P6" s="34"/>
      <x:c r="Q6" s="23" t="str"/>
      <x:c r="R6" s="23" t="str">
        <x:v>information</x:v>
      </x:c>
      <x:c r="S6" s="32" t="n">
        <x:v>2024</x:v>
      </x:c>
      <x:c r="T6" s="23" t="str">
        <x:v>便捷化｜小包装</x:v>
      </x:c>
      <x:c r="U6" s="23" t="str">
        <x:v>行业应用分类</x:v>
      </x:c>
      <x:c r="V6" s="23" t="str">
        <x:v>https://www.ctma.com.cn/hangyeyaowen/72628.html</x:v>
      </x:c>
    </x:row>
    <x:row r="7" ht="58" customHeight="1">
      <x:c r="A7" s="23" t="str">
        <x:v>A03</x:v>
      </x:c>
      <x:c r="B7" s="32" t="n">
        <x:v>3</x:v>
      </x:c>
      <x:c r="C7" s="23" t="str">
        <x:v>现制新茶饮</x:v>
      </x:c>
      <x:c r="D7" s="23" t="str">
        <x:v>以原叶茶或茶汤为基础，结合乳品、水果等现场制作。</x:v>
      </x:c>
      <x:c r="E7" s="23" t="str">
        <x:v>纯茶｜鲜奶茶｜水果茶</x:v>
      </x:c>
      <x:c r="F7" s="23" t="str">
        <x:v>quantitative</x:v>
      </x:c>
      <x:c r="G7" s="23" t="str">
        <x:v>市场规模</x:v>
      </x:c>
      <x:c r="H7" s="34" t="n">
        <x:v>2000</x:v>
      </x:c>
      <x:c r="I7" s="23" t="str">
        <x:v>亿元</x:v>
      </x:c>
      <x:c r="J7" s="23" t="str">
        <x:v>greater_than</x:v>
      </x:c>
      <x:c r="K7" s="23" t="str">
        <x:v>门店数量</x:v>
      </x:c>
      <x:c r="L7" s="34" t="n">
        <x:v>65</x:v>
      </x:c>
      <x:c r="M7" s="23" t="str">
        <x:v>万家</x:v>
      </x:c>
      <x:c r="N7" s="23" t="str">
        <x:v>about</x:v>
      </x:c>
      <x:c r="O7" s="23" t="str">
        <x:v>耗茶量</x:v>
      </x:c>
      <x:c r="P7" s="34" t="n">
        <x:v>30</x:v>
      </x:c>
      <x:c r="Q7" s="23" t="str">
        <x:v>万吨</x:v>
      </x:c>
      <x:c r="R7" s="23" t="str">
        <x:v>about</x:v>
      </x:c>
      <x:c r="S7" s="32" t="n">
        <x:v>2024</x:v>
      </x:c>
      <x:c r="T7" s="23" t="str">
        <x:v>年轻消费｜场景创新</x:v>
      </x:c>
      <x:c r="U7" s="23" t="str">
        <x:v>中国茶叶流通协会</x:v>
      </x:c>
      <x:c r="V7" s="23" t="str">
        <x:v>https://www.news.cn/fortune/20250529/05a9fa7eea3a45cd904d3396878d3306/c.html</x:v>
      </x:c>
    </x:row>
    <x:row r="8" ht="58" customHeight="1">
      <x:c r="A8" s="23" t="str">
        <x:v>A04</x:v>
      </x:c>
      <x:c r="B8" s="32" t="n">
        <x:v>4</x:v>
      </x:c>
      <x:c r="C8" s="23" t="str">
        <x:v>即饮及无糖茶</x:v>
      </x:c>
      <x:c r="D8" s="23" t="str">
        <x:v>预包装、开瓶即饮，健康化和无糖化趋势明显。</x:v>
      </x:c>
      <x:c r="E8" s="23" t="str">
        <x:v>无糖茶｜调味茶｜瓶装茶</x:v>
      </x:c>
      <x:c r="F8" s="23" t="str">
        <x:v>quantitative</x:v>
      </x:c>
      <x:c r="G8" s="23" t="str">
        <x:v>市场规模</x:v>
      </x:c>
      <x:c r="H8" s="34" t="n">
        <x:v>600</x:v>
      </x:c>
      <x:c r="I8" s="23" t="str">
        <x:v>亿元</x:v>
      </x:c>
      <x:c r="J8" s="23" t="str">
        <x:v>about</x:v>
      </x:c>
      <x:c r="K8" s="23" t="str">
        <x:v>总产量</x:v>
      </x:c>
      <x:c r="L8" s="34" t="n">
        <x:v>2000</x:v>
      </x:c>
      <x:c r="M8" s="23" t="str">
        <x:v>万吨</x:v>
      </x:c>
      <x:c r="N8" s="23" t="str">
        <x:v>greater_than</x:v>
      </x:c>
      <x:c r="O8" s="23" t="str"/>
      <x:c r="P8" s="34"/>
      <x:c r="Q8" s="23" t="str"/>
      <x:c r="R8" s="23" t="str">
        <x:v>information</x:v>
      </x:c>
      <x:c r="S8" s="32" t="n">
        <x:v>2024</x:v>
      </x:c>
      <x:c r="T8" s="23" t="str">
        <x:v>健康化｜即饮化</x:v>
      </x:c>
      <x:c r="U8" s="23" t="str">
        <x:v>中国茶叶流通协会</x:v>
      </x:c>
      <x:c r="V8" s="23" t="str">
        <x:v>https://www.ctma.com.cn/hangyeyaowen/82761.html</x:v>
      </x:c>
    </x:row>
    <x:row r="9" ht="58" customHeight="1">
      <x:c r="A9" s="23" t="str">
        <x:v>A05</x:v>
      </x:c>
      <x:c r="B9" s="32" t="n">
        <x:v>5</x:v>
      </x:c>
      <x:c r="C9" s="23" t="str">
        <x:v>茶食品</x:v>
      </x:c>
      <x:c r="D9" s="23" t="str">
        <x:v>茶作为风味或功能成分进入食品消费场景。</x:v>
      </x:c>
      <x:c r="E9" s="23" t="str">
        <x:v>茶糕点｜茶糖果｜茶冰淇淋｜茶啤酒</x:v>
      </x:c>
      <x:c r="F9" s="23" t="str">
        <x:v>information</x:v>
      </x:c>
      <x:c r="G9" s="23" t="str"/>
      <x:c r="H9" s="34"/>
      <x:c r="I9" s="23" t="str"/>
      <x:c r="J9" s="23" t="str">
        <x:v>information</x:v>
      </x:c>
      <x:c r="K9" s="23" t="str"/>
      <x:c r="L9" s="34"/>
      <x:c r="M9" s="23" t="str"/>
      <x:c r="N9" s="23" t="str">
        <x:v>information</x:v>
      </x:c>
      <x:c r="O9" s="23" t="str"/>
      <x:c r="P9" s="34"/>
      <x:c r="Q9" s="23" t="str"/>
      <x:c r="R9" s="23" t="str">
        <x:v>information</x:v>
      </x:c>
      <x:c r="S9" s="32" t="n">
        <x:v>2024</x:v>
      </x:c>
      <x:c r="T9" s="23" t="str">
        <x:v>跨界融合｜风味创新</x:v>
      </x:c>
      <x:c r="U9" s="23" t="str">
        <x:v>新华社行业报道</x:v>
      </x:c>
      <x:c r="V9" s="23" t="str">
        <x:v>https://www.news.cn/fortune/20250529/05a9fa7eea3a45cd904d3396878d3306/c.html</x:v>
      </x:c>
    </x:row>
    <x:row r="10" ht="58" customHeight="1">
      <x:c r="A10" s="23" t="str">
        <x:v>A06</x:v>
      </x:c>
      <x:c r="B10" s="32" t="n">
        <x:v>6</x:v>
      </x:c>
      <x:c r="C10" s="23" t="str">
        <x:v>精深应用</x:v>
      </x:c>
      <x:c r="D10" s="23" t="str">
        <x:v>提取茶叶有效成分，延伸至健康、日化和美妆等产品。</x:v>
      </x:c>
      <x:c r="E10" s="23" t="str">
        <x:v>茶多酚｜茶氨酸｜茶提取物｜日化美妆</x:v>
      </x:c>
      <x:c r="F10" s="23" t="str">
        <x:v>information</x:v>
      </x:c>
      <x:c r="G10" s="23" t="str"/>
      <x:c r="H10" s="34"/>
      <x:c r="I10" s="23" t="str"/>
      <x:c r="J10" s="23" t="str">
        <x:v>information</x:v>
      </x:c>
      <x:c r="K10" s="23" t="str"/>
      <x:c r="L10" s="34"/>
      <x:c r="M10" s="23" t="str"/>
      <x:c r="N10" s="23" t="str">
        <x:v>information</x:v>
      </x:c>
      <x:c r="O10" s="23" t="str"/>
      <x:c r="P10" s="34"/>
      <x:c r="Q10" s="23" t="str"/>
      <x:c r="R10" s="23" t="str">
        <x:v>information</x:v>
      </x:c>
      <x:c r="S10" s="32" t="n">
        <x:v>2024</x:v>
      </x:c>
      <x:c r="T10" s="23" t="str">
        <x:v>精深加工｜应用延伸</x:v>
      </x:c>
      <x:c r="U10" s="23" t="str">
        <x:v>农业农村部相关法规</x:v>
      </x:c>
      <x:c r="V10" s="23" t="str">
        <x:v>https://fgs.moa.gov.cn/flfg/202606/t20260603_6484710.htm</x:v>
      </x:c>
    </x:row>
  </x:sheetData>
  <x:mergeCells>
    <x:mergeCell ref="A1:V2"/>
  </x:mergeCells>
  <x:pageMargins left="0.7" right="0.7" top="0.75" bottom="0.75" header="0.3" footer="0.3"/>
  <x:tableParts count="1">
    <x:tablePart xmlns:r="http://schemas.openxmlformats.org/officeDocument/2006/relationships" r:id="Rb4802eb5d92149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30" hidden="0" customWidth="1"/>
    <x:col min="4" max="4" width="28" hidden="0" customWidth="1"/>
    <x:col min="5" max="5" width="16" hidden="0" customWidth="1"/>
    <x:col min="6" max="6" width="16" hidden="0" customWidth="1"/>
    <x:col min="7" max="7" width="42" hidden="0" customWidth="1"/>
    <x:col min="8" max="8" width="74" hidden="0" customWidth="1"/>
  </x:cols>
  <x:sheetData>
    <x:row r="1" ht="42" customHeight="1">
      <x:c r="A1" s="5" t="str">
        <x:v>2019—2024年中国原叶茶内销趋势
双轴折线图数据；均价及同比由公式计算</x:v>
      </x:c>
      <x:c r="B1" s="5" t="str">
        <x:v>2019—2024年中国原叶茶内销趋势
双轴折线图数据；均价及同比由公式计算</x:v>
      </x:c>
      <x:c r="C1" s="5" t="str">
        <x:v>2019—2024年中国原叶茶内销趋势
双轴折线图数据；均价及同比由公式计算</x:v>
      </x:c>
      <x:c r="D1" s="5" t="str">
        <x:v>2019—2024年中国原叶茶内销趋势
双轴折线图数据；均价及同比由公式计算</x:v>
      </x:c>
      <x:c r="E1" s="5" t="str">
        <x:v>2019—2024年中国原叶茶内销趋势
双轴折线图数据；均价及同比由公式计算</x:v>
      </x:c>
      <x:c r="F1" s="5" t="str">
        <x:v>2019—2024年中国原叶茶内销趋势
双轴折线图数据；均价及同比由公式计算</x:v>
      </x:c>
      <x:c r="G1" s="5" t="str">
        <x:v>2019—2024年中国原叶茶内销趋势
双轴折线图数据；均价及同比由公式计算</x:v>
      </x:c>
      <x:c r="H1" s="5" t="str">
        <x:v>2019—2024年中国原叶茶内销趋势
双轴折线图数据；均价及同比由公式计算</x:v>
      </x:c>
    </x:row>
    <x:row r="2" ht="42" customHeight="1">
      <x:c r="A2" s="5" t="str">
        <x:v>2019—2024年中国原叶茶内销趋势
双轴折线图数据；均价及同比由公式计算</x:v>
      </x:c>
      <x:c r="B2" s="5" t="str">
        <x:v>2019—2024年中国原叶茶内销趋势
双轴折线图数据；均价及同比由公式计算</x:v>
      </x:c>
      <x:c r="C2" s="5" t="str">
        <x:v>2019—2024年中国原叶茶内销趋势
双轴折线图数据；均价及同比由公式计算</x:v>
      </x:c>
      <x:c r="D2" s="5" t="str">
        <x:v>2019—2024年中国原叶茶内销趋势
双轴折线图数据；均价及同比由公式计算</x:v>
      </x:c>
      <x:c r="E2" s="5" t="str">
        <x:v>2019—2024年中国原叶茶内销趋势
双轴折线图数据；均价及同比由公式计算</x:v>
      </x:c>
      <x:c r="F2" s="5" t="str">
        <x:v>2019—2024年中国原叶茶内销趋势
双轴折线图数据；均价及同比由公式计算</x:v>
      </x:c>
      <x:c r="G2" s="5" t="str">
        <x:v>2019—2024年中国原叶茶内销趋势
双轴折线图数据；均价及同比由公式计算</x:v>
      </x:c>
      <x:c r="H2" s="5" t="str">
        <x:v>2019—2024年中国原叶茶内销趋势
双轴折线图数据；均价及同比由公式计算</x:v>
      </x:c>
    </x:row>
    <x:row r="4" ht="32" customHeight="1">
      <x:c r="A4" s="14" t="str">
        <x:v>year</x:v>
      </x:c>
      <x:c r="B4" s="30" t="str">
        <x:v>domestic_volume_10kt</x:v>
      </x:c>
      <x:c r="C4" s="30" t="str">
        <x:v>domestic_value_100m_cny</x:v>
      </x:c>
      <x:c r="D4" s="30" t="str">
        <x:v>average_price_cny_kg</x:v>
      </x:c>
      <x:c r="E4" s="30" t="str">
        <x:v>volume_yoy</x:v>
      </x:c>
      <x:c r="F4" s="30" t="str">
        <x:v>value_yoy</x:v>
      </x:c>
      <x:c r="G4" s="30" t="str">
        <x:v>source_name</x:v>
      </x:c>
      <x:c r="H4" s="15" t="str">
        <x:v>source_url</x:v>
      </x:c>
    </x:row>
    <x:row r="5" ht="40" customHeight="1">
      <x:c r="A5" s="31" t="n">
        <x:v>2019</x:v>
      </x:c>
      <x:c r="B5" s="33" t="n">
        <x:v>202.56</x:v>
      </x:c>
      <x:c r="C5" s="33" t="n">
        <x:v>2739.5</x:v>
      </x:c>
      <x:c r="D5" s="33" t="n">
        <x:f>C5*10/B5</x:f>
        <x:v>135.24387835703</x:v>
      </x:c>
      <x:c r="E5" s="35"/>
      <x:c r="F5" s="35"/>
      <x:c r="G5" s="22" t="str">
        <x:v>中国茶叶流通协会</x:v>
      </x:c>
      <x:c r="H5" s="22" t="str">
        <x:v>https://www.ctma.com.cn/hangyeyaowen/65252.html</x:v>
      </x:c>
    </x:row>
    <x:row r="6" ht="40" customHeight="1">
      <x:c r="A6" s="32" t="n">
        <x:v>2020</x:v>
      </x:c>
      <x:c r="B6" s="34" t="n">
        <x:v>220.16</x:v>
      </x:c>
      <x:c r="C6" s="34" t="n">
        <x:v>2888.84</x:v>
      </x:c>
      <x:c r="D6" s="34" t="n">
        <x:f>C6*10/B6</x:f>
        <x:v>131.2154796511628</x:v>
      </x:c>
      <x:c r="E6" s="36" t="n">
        <x:f>B6/B5-1</x:f>
        <x:v>0.08688783570300163</x:v>
      </x:c>
      <x:c r="F6" s="36" t="n">
        <x:f>C6/C5-1</x:f>
        <x:v>0.054513597371783185</x:v>
      </x:c>
      <x:c r="G6" s="23" t="str">
        <x:v>中国茶叶流通协会</x:v>
      </x:c>
      <x:c r="H6" s="23" t="str">
        <x:v>https://www.ctma.com.cn/xiehuidongtai/72433.html</x:v>
      </x:c>
    </x:row>
    <x:row r="7" ht="40" customHeight="1">
      <x:c r="A7" s="32" t="n">
        <x:v>2021</x:v>
      </x:c>
      <x:c r="B7" s="34" t="n">
        <x:v>230.19</x:v>
      </x:c>
      <x:c r="C7" s="34" t="n">
        <x:v>3120</x:v>
      </x:c>
      <x:c r="D7" s="34" t="n">
        <x:f>C7*10/B7</x:f>
        <x:v>135.5402059168513</x:v>
      </x:c>
      <x:c r="E7" s="36" t="n">
        <x:f>B7/B6-1</x:f>
        <x:v>0.045557776162790775</x:v>
      </x:c>
      <x:c r="F7" s="36" t="n">
        <x:f>C7/C6-1</x:f>
        <x:v>0.08001827723238386</x:v>
      </x:c>
      <x:c r="G7" s="23" t="str">
        <x:v>中国茶叶流通协会</x:v>
      </x:c>
      <x:c r="H7" s="23" t="str">
        <x:v>https://www.ctma.com.cn/hangyeyaowen/73693.html</x:v>
      </x:c>
    </x:row>
    <x:row r="8" ht="40" customHeight="1">
      <x:c r="A8" s="32" t="n">
        <x:v>2022</x:v>
      </x:c>
      <x:c r="B8" s="34" t="n">
        <x:v>239.75</x:v>
      </x:c>
      <x:c r="C8" s="34" t="n">
        <x:v>3395.27</x:v>
      </x:c>
      <x:c r="D8" s="34" t="n">
        <x:f>C8*10/B8</x:f>
        <x:v>141.61710114702814</x:v>
      </x:c>
      <x:c r="E8" s="36" t="n">
        <x:f>B8/B7-1</x:f>
        <x:v>0.041530909248881365</x:v>
      </x:c>
      <x:c r="F8" s="36" t="n">
        <x:f>C8/C7-1</x:f>
        <x:v>0.08822756410256405</x:v>
      </x:c>
      <x:c r="G8" s="23" t="str">
        <x:v>中国茶叶流通协会</x:v>
      </x:c>
      <x:c r="H8" s="23" t="str">
        <x:v>https://www.ctma.com.cn/hangyeyaowen/74678.html</x:v>
      </x:c>
    </x:row>
    <x:row r="9" ht="40" customHeight="1">
      <x:c r="A9" s="32" t="n">
        <x:v>2023</x:v>
      </x:c>
      <x:c r="B9" s="34" t="n">
        <x:v>240.4</x:v>
      </x:c>
      <x:c r="C9" s="34" t="n">
        <x:v>3346.7</x:v>
      </x:c>
      <x:c r="D9" s="34" t="n">
        <x:f>C9*10/B9</x:f>
        <x:v>139.21381031613976</x:v>
      </x:c>
      <x:c r="E9" s="36" t="n">
        <x:f>B9/B8-1</x:f>
        <x:v>0.0027111574556830664</x:v>
      </x:c>
      <x:c r="F9" s="36" t="n">
        <x:f>C9/C8-1</x:f>
        <x:v>-0.01430519516857276</x:v>
      </x:c>
      <x:c r="G9" s="23" t="str">
        <x:v>中国茶叶流通协会《2023年度中国茶叶产销形势报告》</x:v>
      </x:c>
      <x:c r="H9" s="23" t="str">
        <x:v>https://www.ctma.com.cn/xxfb.html</x:v>
      </x:c>
    </x:row>
    <x:row r="10" ht="40" customHeight="1">
      <x:c r="A10" s="32" t="n">
        <x:v>2024</x:v>
      </x:c>
      <x:c r="B10" s="34" t="n">
        <x:v>241.27</x:v>
      </x:c>
      <x:c r="C10" s="34" t="n">
        <x:v>3257.55</x:v>
      </x:c>
      <x:c r="D10" s="34" t="n">
        <x:f>C10*10/B10</x:f>
        <x:v>135.016786173167</x:v>
      </x:c>
      <x:c r="E10" s="36" t="n">
        <x:f>B10/B9-1</x:f>
        <x:v>0.003618968386023269</x:v>
      </x:c>
      <x:c r="F10" s="36" t="n">
        <x:f>C10/C9-1</x:f>
        <x:v>-0.02663818089461245</x:v>
      </x:c>
      <x:c r="G10" s="23" t="str">
        <x:v>中国茶叶流通协会</x:v>
      </x:c>
      <x:c r="H10" s="23" t="str">
        <x:v>https://www.news.cn/food/20250403/762ed35936a64a34b43c08b0c836da2a/c.html</x:v>
      </x:c>
    </x:row>
    <x:row r="12" ht="50" customHeight="1">
      <x:c r="A12" s="40" t="str">
        <x:v>说明：average_price_cny_kg = domestic_value_100m_cny × 10 ÷ domestic_volume_10kt。2019—2024年内销量增长约19%，但2022年后内销额与均价回调，适合在图表下呈现“量稳价变”的消费趋势结论。</x:v>
      </x:c>
      <x:c r="B12" s="40" t="str">
        <x:v>说明：average_price_cny_kg = domestic_value_100m_cny × 10 ÷ domestic_volume_10kt。2019—2024年内销量增长约19%，但2022年后内销额与均价回调，适合在图表下呈现“量稳价变”的消费趋势结论。</x:v>
      </x:c>
      <x:c r="C12" s="40" t="str">
        <x:v>说明：average_price_cny_kg = domestic_value_100m_cny × 10 ÷ domestic_volume_10kt。2019—2024年内销量增长约19%，但2022年后内销额与均价回调，适合在图表下呈现“量稳价变”的消费趋势结论。</x:v>
      </x:c>
      <x:c r="D12" s="40" t="str">
        <x:v>说明：average_price_cny_kg = domestic_value_100m_cny × 10 ÷ domestic_volume_10kt。2019—2024年内销量增长约19%，但2022年后内销额与均价回调，适合在图表下呈现“量稳价变”的消费趋势结论。</x:v>
      </x:c>
      <x:c r="E12" s="40" t="str">
        <x:v>说明：average_price_cny_kg = domestic_value_100m_cny × 10 ÷ domestic_volume_10kt。2019—2024年内销量增长约19%，但2022年后内销额与均价回调，适合在图表下呈现“量稳价变”的消费趋势结论。</x:v>
      </x:c>
      <x:c r="F12" s="40" t="str">
        <x:v>说明：average_price_cny_kg = domestic_value_100m_cny × 10 ÷ domestic_volume_10kt。2019—2024年内销量增长约19%，但2022年后内销额与均价回调，适合在图表下呈现“量稳价变”的消费趋势结论。</x:v>
      </x:c>
      <x:c r="G12" s="40" t="str">
        <x:v>说明：average_price_cny_kg = domestic_value_100m_cny × 10 ÷ domestic_volume_10kt。2019—2024年内销量增长约19%，但2022年后内销额与均价回调，适合在图表下呈现“量稳价变”的消费趋势结论。</x:v>
      </x:c>
      <x:c r="H12" s="40" t="str">
        <x:v>说明：average_price_cny_kg = domestic_value_100m_cny × 10 ÷ domestic_volume_10kt。2019—2024年内销量增长约19%，但2022年后内销额与均价回调，适合在图表下呈现“量稳价变”的消费趋势结论。</x:v>
      </x:c>
    </x:row>
    <x:row r="13" ht="50" customHeight="1">
      <x:c r="A13" s="40" t="str">
        <x:v>说明：average_price_cny_kg = domestic_value_100m_cny × 10 ÷ domestic_volume_10kt。2019—2024年内销量增长约19%，但2022年后内销额与均价回调，适合在图表下呈现“量稳价变”的消费趋势结论。</x:v>
      </x:c>
      <x:c r="B13" s="40" t="str">
        <x:v>说明：average_price_cny_kg = domestic_value_100m_cny × 10 ÷ domestic_volume_10kt。2019—2024年内销量增长约19%，但2022年后内销额与均价回调，适合在图表下呈现“量稳价变”的消费趋势结论。</x:v>
      </x:c>
      <x:c r="C13" s="40" t="str">
        <x:v>说明：average_price_cny_kg = domestic_value_100m_cny × 10 ÷ domestic_volume_10kt。2019—2024年内销量增长约19%，但2022年后内销额与均价回调，适合在图表下呈现“量稳价变”的消费趋势结论。</x:v>
      </x:c>
      <x:c r="D13" s="40" t="str">
        <x:v>说明：average_price_cny_kg = domestic_value_100m_cny × 10 ÷ domestic_volume_10kt。2019—2024年内销量增长约19%，但2022年后内销额与均价回调，适合在图表下呈现“量稳价变”的消费趋势结论。</x:v>
      </x:c>
      <x:c r="E13" s="40" t="str">
        <x:v>说明：average_price_cny_kg = domestic_value_100m_cny × 10 ÷ domestic_volume_10kt。2019—2024年内销量增长约19%，但2022年后内销额与均价回调，适合在图表下呈现“量稳价变”的消费趋势结论。</x:v>
      </x:c>
      <x:c r="F13" s="40" t="str">
        <x:v>说明：average_price_cny_kg = domestic_value_100m_cny × 10 ÷ domestic_volume_10kt。2019—2024年内销量增长约19%，但2022年后内销额与均价回调，适合在图表下呈现“量稳价变”的消费趋势结论。</x:v>
      </x:c>
      <x:c r="G13" s="40" t="str">
        <x:v>说明：average_price_cny_kg = domestic_value_100m_cny × 10 ÷ domestic_volume_10kt。2019—2024年内销量增长约19%，但2022年后内销额与均价回调，适合在图表下呈现“量稳价变”的消费趋势结论。</x:v>
      </x:c>
      <x:c r="H13" s="40" t="str">
        <x:v>说明：average_price_cny_kg = domestic_value_100m_cny × 10 ÷ domestic_volume_10kt。2019—2024年内销量增长约19%，但2022年后内销额与均价回调，适合在图表下呈现“量稳价变”的消费趋势结论。</x:v>
      </x:c>
    </x:row>
  </x:sheetData>
  <x:mergeCells>
    <x:mergeCell ref="A1:H2"/>
    <x:mergeCell ref="A12:H13"/>
  </x:mergeCells>
  <x:pageMargins left="0.7" right="0.7" top="0.75" bottom="0.75" header="0.3" footer="0.3"/>
  <x:tableParts count="1">
    <x:tablePart xmlns:r="http://schemas.openxmlformats.org/officeDocument/2006/relationships" r:id="R14737159bb3a40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8" hidden="0" customWidth="1"/>
    <x:col min="4" max="4" width="18" hidden="0" customWidth="1"/>
    <x:col min="5" max="5" width="20" hidden="0" customWidth="1"/>
    <x:col min="6" max="6" width="24" hidden="0" customWidth="1"/>
    <x:col min="7" max="7" width="74" hidden="0" customWidth="1"/>
  </x:cols>
  <x:sheetData>
    <x:row r="1" ht="42" customHeight="1">
      <x:c r="A1" s="5" t="str">
        <x:v>茶叶线上消费趋势
不补齐缺失年份；图表必须保留约数和下限值标记</x:v>
      </x:c>
      <x:c r="B1" s="5" t="str">
        <x:v>茶叶线上消费趋势
不补齐缺失年份；图表必须保留约数和下限值标记</x:v>
      </x:c>
      <x:c r="C1" s="5" t="str">
        <x:v>茶叶线上消费趋势
不补齐缺失年份；图表必须保留约数和下限值标记</x:v>
      </x:c>
      <x:c r="D1" s="5" t="str">
        <x:v>茶叶线上消费趋势
不补齐缺失年份；图表必须保留约数和下限值标记</x:v>
      </x:c>
      <x:c r="E1" s="5" t="str">
        <x:v>茶叶线上消费趋势
不补齐缺失年份；图表必须保留约数和下限值标记</x:v>
      </x:c>
      <x:c r="F1" s="5" t="str">
        <x:v>茶叶线上消费趋势
不补齐缺失年份；图表必须保留约数和下限值标记</x:v>
      </x:c>
      <x:c r="G1" s="5" t="str">
        <x:v>茶叶线上消费趋势
不补齐缺失年份；图表必须保留约数和下限值标记</x:v>
      </x:c>
    </x:row>
    <x:row r="2" ht="42" customHeight="1">
      <x:c r="A2" s="5" t="str">
        <x:v>茶叶线上消费趋势
不补齐缺失年份；图表必须保留约数和下限值标记</x:v>
      </x:c>
      <x:c r="B2" s="5" t="str">
        <x:v>茶叶线上消费趋势
不补齐缺失年份；图表必须保留约数和下限值标记</x:v>
      </x:c>
      <x:c r="C2" s="5" t="str">
        <x:v>茶叶线上消费趋势
不补齐缺失年份；图表必须保留约数和下限值标记</x:v>
      </x:c>
      <x:c r="D2" s="5" t="str">
        <x:v>茶叶线上消费趋势
不补齐缺失年份；图表必须保留约数和下限值标记</x:v>
      </x:c>
      <x:c r="E2" s="5" t="str">
        <x:v>茶叶线上消费趋势
不补齐缺失年份；图表必须保留约数和下限值标记</x:v>
      </x:c>
      <x:c r="F2" s="5" t="str">
        <x:v>茶叶线上消费趋势
不补齐缺失年份；图表必须保留约数和下限值标记</x:v>
      </x:c>
      <x:c r="G2" s="5" t="str">
        <x:v>茶叶线上消费趋势
不补齐缺失年份；图表必须保留约数和下限值标记</x:v>
      </x:c>
    </x:row>
    <x:row r="4" ht="32" customHeight="1">
      <x:c r="A4" s="14" t="str">
        <x:v>year</x:v>
      </x:c>
      <x:c r="B4" s="30" t="str">
        <x:v>value_100m_cny</x:v>
      </x:c>
      <x:c r="C4" s="30" t="str">
        <x:v>qualifier</x:v>
      </x:c>
      <x:c r="D4" s="30" t="str">
        <x:v>display_value</x:v>
      </x:c>
      <x:c r="E4" s="30" t="str">
        <x:v>metric_name</x:v>
      </x:c>
      <x:c r="F4" s="30" t="str">
        <x:v>source_name</x:v>
      </x:c>
      <x:c r="G4" s="15" t="str">
        <x:v>source_url</x:v>
      </x:c>
    </x:row>
    <x:row r="5" ht="42" customHeight="1">
      <x:c r="A5" s="31" t="n">
        <x:v>2020</x:v>
      </x:c>
      <x:c r="B5" s="41" t="n">
        <x:v>280</x:v>
      </x:c>
      <x:c r="C5" s="22" t="str">
        <x:v>about</x:v>
      </x:c>
      <x:c r="D5" s="22" t="str">
        <x:v>约280亿元</x:v>
      </x:c>
      <x:c r="E5" s="22" t="str">
        <x:v>线上交易额</x:v>
      </x:c>
      <x:c r="F5" s="22" t="str">
        <x:v>中国茶叶流通协会</x:v>
      </x:c>
      <x:c r="G5" s="22" t="str">
        <x:v>https://www.ctma.com.cn/xiehuidongtai/72433.html</x:v>
      </x:c>
    </x:row>
    <x:row r="6" ht="42" customHeight="1">
      <x:c r="A6" s="32" t="n">
        <x:v>2022</x:v>
      </x:c>
      <x:c r="B6" s="42" t="n">
        <x:v>330</x:v>
      </x:c>
      <x:c r="C6" s="23" t="str">
        <x:v>greater_than</x:v>
      </x:c>
      <x:c r="D6" s="23" t="str">
        <x:v>超330亿元</x:v>
      </x:c>
      <x:c r="E6" s="23" t="str">
        <x:v>线上交易额</x:v>
      </x:c>
      <x:c r="F6" s="23" t="str">
        <x:v>中国茶叶流通协会</x:v>
      </x:c>
      <x:c r="G6" s="23" t="str">
        <x:v>https://www.ctma.com.cn/hangyeyaowen/74678.html</x:v>
      </x:c>
    </x:row>
    <x:row r="7" ht="42" customHeight="1">
      <x:c r="A7" s="32" t="n">
        <x:v>2023</x:v>
      </x:c>
      <x:c r="B7" s="42" t="n">
        <x:v>350</x:v>
      </x:c>
      <x:c r="C7" s="23" t="str">
        <x:v>greater_than</x:v>
      </x:c>
      <x:c r="D7" s="23" t="str">
        <x:v>超350亿元</x:v>
      </x:c>
      <x:c r="E7" s="23" t="str">
        <x:v>线上交易额</x:v>
      </x:c>
      <x:c r="F7" s="23" t="str">
        <x:v>中国茶叶流通协会</x:v>
      </x:c>
      <x:c r="G7" s="23" t="str">
        <x:v>https://www.ctma.com.cn/hangyeyaowen/77981.html</x:v>
      </x:c>
    </x:row>
    <x:row r="8" ht="42" customHeight="1">
      <x:c r="A8" s="32" t="n">
        <x:v>2024</x:v>
      </x:c>
      <x:c r="B8" s="42" t="n">
        <x:v>370</x:v>
      </x:c>
      <x:c r="C8" s="23" t="str">
        <x:v>about</x:v>
      </x:c>
      <x:c r="D8" s="23" t="str">
        <x:v>约370亿元</x:v>
      </x:c>
      <x:c r="E8" s="23" t="str">
        <x:v>网上零售额</x:v>
      </x:c>
      <x:c r="F8" s="23" t="str">
        <x:v>中国茶叶流通协会</x:v>
      </x:c>
      <x:c r="G8" s="23" t="str">
        <x:v>https://www.ctma.com.cn/xiehuidongtai/80691.html</x:v>
      </x:c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5059cd8ac2c24b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12" hidden="0" customWidth="1"/>
    <x:col min="4" max="4" width="36" hidden="0" customWidth="1"/>
    <x:col min="5" max="5" width="44" hidden="0" customWidth="1"/>
    <x:col min="6" max="6" width="34" hidden="0" customWidth="1"/>
  </x:cols>
  <x:sheetData>
    <x:row r="1" ht="42" customHeight="1">
      <x:c r="A1" s="5" t="str">
        <x:v>字段说明与网页映射
推荐转换为项目现有 JS/JSON 数据结构后使用</x:v>
      </x:c>
      <x:c r="B1" s="5" t="str">
        <x:v>字段说明与网页映射
推荐转换为项目现有 JS/JSON 数据结构后使用</x:v>
      </x:c>
      <x:c r="C1" s="5" t="str">
        <x:v>字段说明与网页映射
推荐转换为项目现有 JS/JSON 数据结构后使用</x:v>
      </x:c>
      <x:c r="D1" s="5" t="str">
        <x:v>字段说明与网页映射
推荐转换为项目现有 JS/JSON 数据结构后使用</x:v>
      </x:c>
      <x:c r="E1" s="5" t="str">
        <x:v>字段说明与网页映射
推荐转换为项目现有 JS/JSON 数据结构后使用</x:v>
      </x:c>
      <x:c r="F1" s="5" t="str">
        <x:v>字段说明与网页映射
推荐转换为项目现有 JS/JSON 数据结构后使用</x:v>
      </x:c>
    </x:row>
    <x:row r="2" ht="42" customHeight="1">
      <x:c r="A2" s="5" t="str">
        <x:v>字段说明与网页映射
推荐转换为项目现有 JS/JSON 数据结构后使用</x:v>
      </x:c>
      <x:c r="B2" s="5" t="str">
        <x:v>字段说明与网页映射
推荐转换为项目现有 JS/JSON 数据结构后使用</x:v>
      </x:c>
      <x:c r="C2" s="5" t="str">
        <x:v>字段说明与网页映射
推荐转换为项目现有 JS/JSON 数据结构后使用</x:v>
      </x:c>
      <x:c r="D2" s="5" t="str">
        <x:v>字段说明与网页映射
推荐转换为项目现有 JS/JSON 数据结构后使用</x:v>
      </x:c>
      <x:c r="E2" s="5" t="str">
        <x:v>字段说明与网页映射
推荐转换为项目现有 JS/JSON 数据结构后使用</x:v>
      </x:c>
      <x:c r="F2" s="5" t="str">
        <x:v>字段说明与网页映射
推荐转换为项目现有 JS/JSON 数据结构后使用</x:v>
      </x:c>
    </x:row>
    <x:row r="4" ht="32" customHeight="1">
      <x:c r="A4" s="14" t="str">
        <x:v>field</x:v>
      </x:c>
      <x:c r="B4" s="30" t="str">
        <x:v>type</x:v>
      </x:c>
      <x:c r="C4" s="30" t="str">
        <x:v>required</x:v>
      </x:c>
      <x:c r="D4" s="30" t="str">
        <x:v>meaning</x:v>
      </x:c>
      <x:c r="E4" s="30" t="str">
        <x:v>frontend_usage</x:v>
      </x:c>
      <x:c r="F4" s="15" t="str">
        <x:v>example</x:v>
      </x:c>
    </x:row>
    <x:row r="5" ht="38" customHeight="1">
      <x:c r="A5" s="22" t="str">
        <x:v>metric_id/application_id</x:v>
      </x:c>
      <x:c r="B5" s="22" t="str">
        <x:v>string</x:v>
      </x:c>
      <x:c r="C5" s="22" t="str">
        <x:v>是</x:v>
      </x:c>
      <x:c r="D5" s="22" t="str">
        <x:v>稳定唯一标识</x:v>
      </x:c>
      <x:c r="E5" s="22" t="str">
        <x:v>key、点击状态和图表关联</x:v>
      </x:c>
      <x:c r="F5" s="22" t="str">
        <x:v>leaf_domestic_volume / A01</x:v>
      </x:c>
    </x:row>
    <x:row r="6" ht="38" customHeight="1">
      <x:c r="A6" s="23" t="str">
        <x:v>card_order</x:v>
      </x:c>
      <x:c r="B6" s="23" t="str">
        <x:v>number</x:v>
      </x:c>
      <x:c r="C6" s="23" t="str">
        <x:v>是</x:v>
      </x:c>
      <x:c r="D6" s="23" t="str">
        <x:v>卡片展示顺序</x:v>
      </x:c>
      <x:c r="E6" s="23" t="str">
        <x:v>排序</x:v>
      </x:c>
      <x:c r="F6" s="23" t="str">
        <x:v>1</x:v>
      </x:c>
    </x:row>
    <x:row r="7" ht="38" customHeight="1">
      <x:c r="A7" s="23" t="str">
        <x:v>metric_value</x:v>
      </x:c>
      <x:c r="B7" s="23" t="str">
        <x:v>number|null</x:v>
      </x:c>
      <x:c r="C7" s="23" t="str">
        <x:v>视类型</x:v>
      </x:c>
      <x:c r="D7" s="23" t="str">
        <x:v>原始数值</x:v>
      </x:c>
      <x:c r="E7" s="23" t="str">
        <x:v>图表和动画计数</x:v>
      </x:c>
      <x:c r="F7" s="23" t="str">
        <x:v>241.27</x:v>
      </x:c>
    </x:row>
    <x:row r="8" ht="38" customHeight="1">
      <x:c r="A8" s="23" t="str">
        <x:v>unit</x:v>
      </x:c>
      <x:c r="B8" s="23" t="str">
        <x:v>string</x:v>
      </x:c>
      <x:c r="C8" s="23" t="str">
        <x:v>视类型</x:v>
      </x:c>
      <x:c r="D8" s="23" t="str">
        <x:v>数值单位</x:v>
      </x:c>
      <x:c r="E8" s="23" t="str">
        <x:v>与数值分开渲染</x:v>
      </x:c>
      <x:c r="F8" s="23" t="str">
        <x:v>万吨</x:v>
      </x:c>
    </x:row>
    <x:row r="9" ht="38" customHeight="1">
      <x:c r="A9" s="23" t="str">
        <x:v>qualifier</x:v>
      </x:c>
      <x:c r="B9" s="23" t="str">
        <x:v>enum</x:v>
      </x:c>
      <x:c r="C9" s="23" t="str">
        <x:v>是</x:v>
      </x:c>
      <x:c r="D9" s="23" t="str">
        <x:v>数值口径</x:v>
      </x:c>
      <x:c r="E9" s="23" t="str">
        <x:v>生成约、超等前缀</x:v>
      </x:c>
      <x:c r="F9" s="23" t="str">
        <x:v>exact/about/greater_than</x:v>
      </x:c>
    </x:row>
    <x:row r="10" ht="38" customHeight="1">
      <x:c r="A10" s="23" t="str">
        <x:v>display_value</x:v>
      </x:c>
      <x:c r="B10" s="23" t="str">
        <x:v>string</x:v>
      </x:c>
      <x:c r="C10" s="23" t="str">
        <x:v>建议</x:v>
      </x:c>
      <x:c r="D10" s="23" t="str">
        <x:v>用户可见文案</x:v>
      </x:c>
      <x:c r="E10" s="23" t="str">
        <x:v>KPI卡直接显示</x:v>
      </x:c>
      <x:c r="F10" s="23" t="str">
        <x:v>约370亿元</x:v>
      </x:c>
    </x:row>
    <x:row r="11" ht="38" customHeight="1">
      <x:c r="A11" s="23" t="str">
        <x:v>display_mode</x:v>
      </x:c>
      <x:c r="B11" s="23" t="str">
        <x:v>enum</x:v>
      </x:c>
      <x:c r="C11" s="23" t="str">
        <x:v>是</x:v>
      </x:c>
      <x:c r="D11" s="23" t="str">
        <x:v>卡片类型</x:v>
      </x:c>
      <x:c r="E11" s="23" t="str">
        <x:v>quantitative显示数据；information只显示说明</x:v>
      </x:c>
      <x:c r="F11" s="23" t="str">
        <x:v>information</x:v>
      </x:c>
    </x:row>
    <x:row r="12" ht="38" customHeight="1">
      <x:c r="A12" s="23" t="str">
        <x:v>year</x:v>
      </x:c>
      <x:c r="B12" s="23" t="str">
        <x:v>number</x:v>
      </x:c>
      <x:c r="C12" s="23" t="str">
        <x:v>是</x:v>
      </x:c>
      <x:c r="D12" s="23" t="str">
        <x:v>统计年份</x:v>
      </x:c>
      <x:c r="E12" s="23" t="str">
        <x:v>角标与筛选</x:v>
      </x:c>
      <x:c r="F12" s="23" t="str">
        <x:v>2024</x:v>
      </x:c>
    </x:row>
    <x:row r="13" ht="38" customHeight="1">
      <x:c r="A13" s="23" t="str">
        <x:v>trend_tags</x:v>
      </x:c>
      <x:c r="B13" s="23" t="str">
        <x:v>string</x:v>
      </x:c>
      <x:c r="C13" s="23" t="str">
        <x:v>否</x:v>
      </x:c>
      <x:c r="D13" s="23" t="str">
        <x:v>多个标签，以｜分隔</x:v>
      </x:c>
      <x:c r="E13" s="23" t="str">
        <x:v>趋势胶囊标签</x:v>
      </x:c>
      <x:c r="F13" s="23" t="str">
        <x:v>健康化｜即饮化</x:v>
      </x:c>
    </x:row>
    <x:row r="14" ht="38" customHeight="1">
      <x:c r="A14" s="23" t="str">
        <x:v>source_name</x:v>
      </x:c>
      <x:c r="B14" s="23" t="str">
        <x:v>string</x:v>
      </x:c>
      <x:c r="C14" s="23" t="str">
        <x:v>是</x:v>
      </x:c>
      <x:c r="D14" s="23" t="str">
        <x:v>来源名称</x:v>
      </x:c>
      <x:c r="E14" s="23" t="str">
        <x:v>数据说明或开发备注</x:v>
      </x:c>
      <x:c r="F14" s="23" t="str">
        <x:v>中国茶叶流通协会</x:v>
      </x:c>
    </x:row>
    <x:row r="15" ht="38" customHeight="1">
      <x:c r="A15" s="23" t="str">
        <x:v>source_url</x:v>
      </x:c>
      <x:c r="B15" s="23" t="str">
        <x:v>string</x:v>
      </x:c>
      <x:c r="C15" s="23" t="str">
        <x:v>是</x:v>
      </x:c>
      <x:c r="D15" s="23" t="str">
        <x:v>来源链接</x:v>
      </x:c>
      <x:c r="E15" s="23" t="str">
        <x:v>不必在主视觉突出，可放详情或注释</x:v>
      </x:c>
      <x:c r="F15" s="23" t="str">
        <x:v>https://...</x:v>
      </x:c>
    </x:row>
    <x:row r="16" ht="38" customHeight="1">
      <x:c r="A16" s="23" t="str">
        <x:v>exact</x:v>
      </x:c>
      <x:c r="B16" s="23" t="str">
        <x:v>qualifier</x:v>
      </x:c>
      <x:c r="C16" s="23" t="str">
        <x:v>—</x:v>
      </x:c>
      <x:c r="D16" s="23" t="str">
        <x:v>准确统计值</x:v>
      </x:c>
      <x:c r="E16" s="23" t="str">
        <x:v>不加前缀</x:v>
      </x:c>
      <x:c r="F16" s="23" t="str">
        <x:v>241.27万吨</x:v>
      </x:c>
    </x:row>
    <x:row r="17" ht="38" customHeight="1">
      <x:c r="A17" s="23" t="str">
        <x:v>about</x:v>
      </x:c>
      <x:c r="B17" s="23" t="str">
        <x:v>qualifier</x:v>
      </x:c>
      <x:c r="C17" s="23" t="str">
        <x:v>—</x:v>
      </x:c>
      <x:c r="D17" s="23" t="str">
        <x:v>约数或估计值</x:v>
      </x:c>
      <x:c r="E17" s="23" t="str">
        <x:v>数值前显示“约”</x:v>
      </x:c>
      <x:c r="F17" s="23" t="str">
        <x:v>约370亿元</x:v>
      </x:c>
    </x:row>
    <x:row r="18" ht="38" customHeight="1">
      <x:c r="A18" s="23" t="str">
        <x:v>greater_than</x:v>
      </x:c>
      <x:c r="B18" s="23" t="str">
        <x:v>qualifier</x:v>
      </x:c>
      <x:c r="C18" s="23" t="str">
        <x:v>—</x:v>
      </x:c>
      <x:c r="D18" s="23" t="str">
        <x:v>下限值</x:v>
      </x:c>
      <x:c r="E18" s="23" t="str">
        <x:v>数值前显示“超”</x:v>
      </x:c>
      <x:c r="F18" s="23" t="str">
        <x:v>超150亿元</x:v>
      </x:c>
    </x:row>
    <x:row r="19" ht="38" customHeight="1">
      <x:c r="A19" s="23" t="str">
        <x:v>information</x:v>
      </x:c>
      <x:c r="B19" s="23" t="str">
        <x:v>qualifier/display_mode</x:v>
      </x:c>
      <x:c r="C19" s="23" t="str">
        <x:v>—</x:v>
      </x:c>
      <x:c r="D19" s="23" t="str">
        <x:v>无统一全国连续统计</x:v>
      </x:c>
      <x:c r="E19" s="23" t="str">
        <x:v>只做等面积信息卡，禁止计算占比</x:v>
      </x:c>
      <x:c r="F19" s="23" t="str">
        <x:v>茶食品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0cd461c7cfcc41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2" customHeight="1">
      <x:c r="A1" s="5" t="str">
        <x:v>可直接复制给网页 Agent 的修改提示词
修改范围严格限定为点击叶片后的手机瀑布流内容</x:v>
      </x:c>
      <x:c r="B1" s="5" t="str">
        <x:v>可直接复制给网页 Agent 的修改提示词
修改范围严格限定为点击叶片后的手机瀑布流内容</x:v>
      </x:c>
      <x:c r="C1" s="5" t="str">
        <x:v>可直接复制给网页 Agent 的修改提示词
修改范围严格限定为点击叶片后的手机瀑布流内容</x:v>
      </x:c>
      <x:c r="D1" s="5" t="str">
        <x:v>可直接复制给网页 Agent 的修改提示词
修改范围严格限定为点击叶片后的手机瀑布流内容</x:v>
      </x:c>
      <x:c r="E1" s="5" t="str">
        <x:v>可直接复制给网页 Agent 的修改提示词
修改范围严格限定为点击叶片后的手机瀑布流内容</x:v>
      </x:c>
      <x:c r="F1" s="5" t="str">
        <x:v>可直接复制给网页 Agent 的修改提示词
修改范围严格限定为点击叶片后的手机瀑布流内容</x:v>
      </x:c>
      <x:c r="G1" s="5" t="str">
        <x:v>可直接复制给网页 Agent 的修改提示词
修改范围严格限定为点击叶片后的手机瀑布流内容</x:v>
      </x:c>
      <x:c r="H1" s="5" t="str">
        <x:v>可直接复制给网页 Agent 的修改提示词
修改范围严格限定为点击叶片后的手机瀑布流内容</x:v>
      </x:c>
    </x:row>
    <x:row r="2" ht="42" customHeight="1">
      <x:c r="A2" s="5" t="str">
        <x:v>可直接复制给网页 Agent 的修改提示词
修改范围严格限定为点击叶片后的手机瀑布流内容</x:v>
      </x:c>
      <x:c r="B2" s="5" t="str">
        <x:v>可直接复制给网页 Agent 的修改提示词
修改范围严格限定为点击叶片后的手机瀑布流内容</x:v>
      </x:c>
      <x:c r="C2" s="5" t="str">
        <x:v>可直接复制给网页 Agent 的修改提示词
修改范围严格限定为点击叶片后的手机瀑布流内容</x:v>
      </x:c>
      <x:c r="D2" s="5" t="str">
        <x:v>可直接复制给网页 Agent 的修改提示词
修改范围严格限定为点击叶片后的手机瀑布流内容</x:v>
      </x:c>
      <x:c r="E2" s="5" t="str">
        <x:v>可直接复制给网页 Agent 的修改提示词
修改范围严格限定为点击叶片后的手机瀑布流内容</x:v>
      </x:c>
      <x:c r="F2" s="5" t="str">
        <x:v>可直接复制给网页 Agent 的修改提示词
修改范围严格限定为点击叶片后的手机瀑布流内容</x:v>
      </x:c>
      <x:c r="G2" s="5" t="str">
        <x:v>可直接复制给网页 Agent 的修改提示词
修改范围严格限定为点击叶片后的手机瀑布流内容</x:v>
      </x:c>
      <x:c r="H2" s="5" t="str">
        <x:v>可直接复制给网页 Agent 的修改提示词
修改范围严格限定为点击叶片后的手机瀑布流内容</x:v>
      </x:c>
    </x:row>
    <x:row r="4">
      <x:c r="A4" s="26" t="str">
        <x:v>完整提示词（点击单元格后可在编辑栏中全选复制）</x:v>
      </x:c>
      <x:c r="B4" s="26"/>
      <x:c r="C4" s="26"/>
      <x:c r="D4" s="26"/>
      <x:c r="E4" s="26"/>
      <x:c r="F4" s="26"/>
      <x:c r="G4" s="26"/>
      <x:c r="H4" s="26"/>
    </x:row>
    <x:row r="6" ht="22" customHeight="1">
      <x:c r="A6" s="69" t="str">
        <x:v>请在当前茶文化网页项目中，仅修改“今日茶境”章节里点击茶树叶片后，右侧手机内部显示的瀑布流内容。请先完整检查现有项目结构、叶片点击事件、状态变量、手机内容组件、ECharts初始化与销毁逻辑以及现有数据引用方式，再在现有实现基础上做最小范围修改。
【最高优先级修改边界】
1. 只允许修改点击“叶片”后进入的右侧手机内部内容，以及该内容直接使用的局部数据文件、局部样式和局部图表配置。
2. 不得修改页面其他区域：不得修改左侧茶树插画、叶片位置和点击热区，不得修改根系/枝干及其点击内容，不得修改顶部导航、章节切换、底部翻页、背景、总体页面布局、左右分栏比例、手机外壳、手机尺寸、手机位置或滚动容器尺寸。
3. 不得重构或替换整个页面组件，不得修改全局CSS、路由、公共组件或其他章节。保留现有页面的字体、配色、圆角、阴影、留白和动效风格，只在叶片手机内容的局部作用域内补充必要样式。
4. 不得改变现有功能和交互逻辑。叶片之外的内容必须与修改前完全一致。若现有变量名或组件结构与提示词不同，以项目实际代码为准，不得创建未定义变量或凭空假设文件。
【叶片页面主题】
将原有不同茶种贸易数据替换为“叶片·新生——现代茶产品应用结构与消费趋势”。该页面只回答两个问题：现代茶叶被做成了什么；人们今天怎样消费茶。删除叶片手机内容中的出口额、出口结构、贸易对象等信息，但不要删除或改动其他章节的贸易内容。
【数据接入】
以《茶文化网页_叶片现代产品与消费趋势数据.xlsx》为数据依据。不要让浏览器在运行时直接读取Excel；请按照项目现有的数据组织方式，将02_核心指标、03_产品应用、04_内销趋势、05_线上趋势转换为局部JS/JSON/TS数据文件。保留数值、单位、年份、qualifier、display_mode和来源字段。qualifier=about时显示“约”，greater_than时显示“超”，exact不加前缀。display_mode=information的类别只显示信息，不参与任何占比计算。
【手机瀑布流顺序】
一、顶部局部标题区：标题“一叶新生”，副标题“茶，正在进入更多现代生活场景”。将叶片内容原有年份下拉框替换为两个局部切换按钮：“2024产业快照”和“2019—2024消费趋势”。该修改只发生在叶片内容内部。
二、核心指标卡：使用2×2卡片展示2024年原叶茶内销量241.27万吨、原叶茶内销额3257.55亿元、线上零售额约370亿元、直播电商交易额超150亿元。
三、现代茶产品应用：标题“一片茶叶的六种新表达”，采用2×3等面积卡片展示原叶冲泡、便捷茶饮、现制新茶饮、即饮及无糖茶、茶食品、精深应用。每张卡显示名称、简短说明、代表产品和趋势标签。禁止用饼图或环形图表示六类占比，因为统计口径不一致。点击卡片可局部展开详情，但不得跳转页面。
四、三大消费赛道：用三张纵向大卡片展示原叶冲泡、现制新茶饮、即饮及无糖茶。原叶冲泡显示内销量241.27万吨、内销额3257.55亿元、均价约135元/千克；现制新茶饮显示市场规模超2000亿元、门店约65万家、耗茶量约30万吨；即饮及无糖茶显示市场规模约600亿元、总产量超2000万吨。三类口径不同，只允许并列展示，禁止合并计算市场份额。
五、原叶茶消费趋势：标题“量稳价变：中国茶叶内销趋势”。使用2019—2024年双轴折线图，左轴为内销量（万吨），右轴为内销额（亿元）；tooltip同时显示年份、内销量、内销额和均价。图表下显示结论：“2019—2024年原叶茶内销量持续扩大，但2022年后内销额和均价有所回调，消费市场逐渐由规模扩张转向理性与品质并重。”
六、线上消费趋势：标题“茶叶消费走向云端”。使用2020、2022、2023、2024四个年份节点或简洁柱形图，显示约280亿元、超330亿元、超350亿元、约370亿元。不要补造2021年数据，图上保留“约/超”标记。
七、趋势总结：用三张简短信息卡展示“健康化——无糖、低糖、天然茶汤受到关注”“便捷化——袋泡、冷泡、即饮产品降低饮茶门槛”“年轻化——现制茶饮、电商直播和新中式茶空间拓展消费场景”。结尾文案：“从盖碗中的一片叶，到街头的一杯茶，再到食品、健康与日化产品，茶正在以新的方式进入当代生活。”
【视觉与交互要求】
1. 保持现有手机内部卡片的视觉语言，使用项目原有主色，并可在局部使用#EFE9DA、#F7F4EB、#516D33、#B28F4C、#C3C19A、#5C7C3A。
2. 手机内容区保持单列纵向瀑布流，卡片间距约12—16px；核心指标和六类应用可以使用两列，其余内容单列。不得出现横向滚动、内容溢出手机边框或遮挡手机底部装饰。
3. 图表必须自适应手机内容宽度。复用现有ECharts生命周期；切换离开叶片、组件卸载或重新渲染时正确dispose，避免重复初始化、监听器叠加和控制台报错。
4. 保持现有手机滚动条与滚动行为，不修改手机外框。切换两个局部标签时回到对应内容顶部或保持合理滚动位置。
5. 不添加与现有风格冲突的高饱和颜色、渐变大背景、复杂3D效果或大型装饰图标。
【完成与检查】
请直接在项目文件中实现，不要只给示例代码。修改完成后运行项目已有的构建或检查命令，确保没有白屏、编译错误、未定义变量、ECharts重复初始化或其他页面变化。最后列出实际修改的文件、各文件修改内容，并明确确认：只修改了点击叶片后的右侧手机瀑布流内容，没有修改总体页面布局和其他板块。</x:v>
      </x:c>
      <x:c r="B6" s="70"/>
      <x:c r="C6" s="70"/>
      <x:c r="D6" s="70"/>
      <x:c r="E6" s="70"/>
      <x:c r="F6" s="70"/>
      <x:c r="G6" s="70"/>
      <x:c r="H6" s="71"/>
    </x:row>
    <x:row r="7" ht="22" customHeight="1">
      <x:c r="A7" s="72"/>
      <x:c r="B7" s="73"/>
      <x:c r="C7" s="73"/>
      <x:c r="D7" s="73"/>
      <x:c r="E7" s="73"/>
      <x:c r="F7" s="73"/>
      <x:c r="G7" s="73"/>
      <x:c r="H7" s="74"/>
    </x:row>
    <x:row r="8" ht="22" customHeight="1">
      <x:c r="A8" s="72"/>
      <x:c r="B8" s="73"/>
      <x:c r="C8" s="73"/>
      <x:c r="D8" s="73"/>
      <x:c r="E8" s="73"/>
      <x:c r="F8" s="73"/>
      <x:c r="G8" s="73"/>
      <x:c r="H8" s="74"/>
    </x:row>
    <x:row r="9" ht="22" customHeight="1">
      <x:c r="A9" s="72"/>
      <x:c r="B9" s="73"/>
      <x:c r="C9" s="73"/>
      <x:c r="D9" s="73"/>
      <x:c r="E9" s="73"/>
      <x:c r="F9" s="73"/>
      <x:c r="G9" s="73"/>
      <x:c r="H9" s="74"/>
    </x:row>
    <x:row r="10" ht="22" customHeight="1">
      <x:c r="A10" s="72"/>
      <x:c r="B10" s="73"/>
      <x:c r="C10" s="73"/>
      <x:c r="D10" s="73"/>
      <x:c r="E10" s="73"/>
      <x:c r="F10" s="73"/>
      <x:c r="G10" s="73"/>
      <x:c r="H10" s="74"/>
    </x:row>
    <x:row r="11" ht="22" customHeight="1">
      <x:c r="A11" s="72"/>
      <x:c r="B11" s="73"/>
      <x:c r="C11" s="73"/>
      <x:c r="D11" s="73"/>
      <x:c r="E11" s="73"/>
      <x:c r="F11" s="73"/>
      <x:c r="G11" s="73"/>
      <x:c r="H11" s="74"/>
    </x:row>
    <x:row r="12" ht="22" customHeight="1">
      <x:c r="A12" s="72"/>
      <x:c r="B12" s="73"/>
      <x:c r="C12" s="73"/>
      <x:c r="D12" s="73"/>
      <x:c r="E12" s="73"/>
      <x:c r="F12" s="73"/>
      <x:c r="G12" s="73"/>
      <x:c r="H12" s="74"/>
    </x:row>
    <x:row r="13" ht="22" customHeight="1">
      <x:c r="A13" s="72"/>
      <x:c r="B13" s="73"/>
      <x:c r="C13" s="73"/>
      <x:c r="D13" s="73"/>
      <x:c r="E13" s="73"/>
      <x:c r="F13" s="73"/>
      <x:c r="G13" s="73"/>
      <x:c r="H13" s="74"/>
    </x:row>
    <x:row r="14" ht="22" customHeight="1">
      <x:c r="A14" s="72"/>
      <x:c r="B14" s="73"/>
      <x:c r="C14" s="73"/>
      <x:c r="D14" s="73"/>
      <x:c r="E14" s="73"/>
      <x:c r="F14" s="73"/>
      <x:c r="G14" s="73"/>
      <x:c r="H14" s="74"/>
    </x:row>
    <x:row r="15" ht="22" customHeight="1">
      <x:c r="A15" s="72"/>
      <x:c r="B15" s="73"/>
      <x:c r="C15" s="73"/>
      <x:c r="D15" s="73"/>
      <x:c r="E15" s="73"/>
      <x:c r="F15" s="73"/>
      <x:c r="G15" s="73"/>
      <x:c r="H15" s="74"/>
    </x:row>
    <x:row r="16" ht="22" customHeight="1">
      <x:c r="A16" s="72"/>
      <x:c r="B16" s="73"/>
      <x:c r="C16" s="73"/>
      <x:c r="D16" s="73"/>
      <x:c r="E16" s="73"/>
      <x:c r="F16" s="73"/>
      <x:c r="G16" s="73"/>
      <x:c r="H16" s="74"/>
    </x:row>
    <x:row r="17" ht="22" customHeight="1">
      <x:c r="A17" s="72"/>
      <x:c r="B17" s="73"/>
      <x:c r="C17" s="73"/>
      <x:c r="D17" s="73"/>
      <x:c r="E17" s="73"/>
      <x:c r="F17" s="73"/>
      <x:c r="G17" s="73"/>
      <x:c r="H17" s="74"/>
    </x:row>
    <x:row r="18" ht="22" customHeight="1">
      <x:c r="A18" s="72"/>
      <x:c r="B18" s="73"/>
      <x:c r="C18" s="73"/>
      <x:c r="D18" s="73"/>
      <x:c r="E18" s="73"/>
      <x:c r="F18" s="73"/>
      <x:c r="G18" s="73"/>
      <x:c r="H18" s="74"/>
    </x:row>
    <x:row r="19" ht="22" customHeight="1">
      <x:c r="A19" s="72"/>
      <x:c r="B19" s="73"/>
      <x:c r="C19" s="73"/>
      <x:c r="D19" s="73"/>
      <x:c r="E19" s="73"/>
      <x:c r="F19" s="73"/>
      <x:c r="G19" s="73"/>
      <x:c r="H19" s="74"/>
    </x:row>
    <x:row r="20" ht="22" customHeight="1">
      <x:c r="A20" s="72"/>
      <x:c r="B20" s="73"/>
      <x:c r="C20" s="73"/>
      <x:c r="D20" s="73"/>
      <x:c r="E20" s="73"/>
      <x:c r="F20" s="73"/>
      <x:c r="G20" s="73"/>
      <x:c r="H20" s="74"/>
    </x:row>
    <x:row r="21" ht="22" customHeight="1">
      <x:c r="A21" s="72"/>
      <x:c r="B21" s="73"/>
      <x:c r="C21" s="73"/>
      <x:c r="D21" s="73"/>
      <x:c r="E21" s="73"/>
      <x:c r="F21" s="73"/>
      <x:c r="G21" s="73"/>
      <x:c r="H21" s="74"/>
    </x:row>
    <x:row r="22" ht="22" customHeight="1">
      <x:c r="A22" s="72"/>
      <x:c r="B22" s="73"/>
      <x:c r="C22" s="73"/>
      <x:c r="D22" s="73"/>
      <x:c r="E22" s="73"/>
      <x:c r="F22" s="73"/>
      <x:c r="G22" s="73"/>
      <x:c r="H22" s="74"/>
    </x:row>
    <x:row r="23" ht="22" customHeight="1">
      <x:c r="A23" s="72"/>
      <x:c r="B23" s="73"/>
      <x:c r="C23" s="73"/>
      <x:c r="D23" s="73"/>
      <x:c r="E23" s="73"/>
      <x:c r="F23" s="73"/>
      <x:c r="G23" s="73"/>
      <x:c r="H23" s="74"/>
    </x:row>
    <x:row r="24" ht="22" customHeight="1">
      <x:c r="A24" s="72"/>
      <x:c r="B24" s="73"/>
      <x:c r="C24" s="73"/>
      <x:c r="D24" s="73"/>
      <x:c r="E24" s="73"/>
      <x:c r="F24" s="73"/>
      <x:c r="G24" s="73"/>
      <x:c r="H24" s="74"/>
    </x:row>
    <x:row r="25" ht="22" customHeight="1">
      <x:c r="A25" s="72"/>
      <x:c r="B25" s="73"/>
      <x:c r="C25" s="73"/>
      <x:c r="D25" s="73"/>
      <x:c r="E25" s="73"/>
      <x:c r="F25" s="73"/>
      <x:c r="G25" s="73"/>
      <x:c r="H25" s="74"/>
    </x:row>
    <x:row r="26" ht="22" customHeight="1">
      <x:c r="A26" s="72"/>
      <x:c r="B26" s="73"/>
      <x:c r="C26" s="73"/>
      <x:c r="D26" s="73"/>
      <x:c r="E26" s="73"/>
      <x:c r="F26" s="73"/>
      <x:c r="G26" s="73"/>
      <x:c r="H26" s="74"/>
    </x:row>
    <x:row r="27" ht="22" customHeight="1">
      <x:c r="A27" s="72"/>
      <x:c r="B27" s="73"/>
      <x:c r="C27" s="73"/>
      <x:c r="D27" s="73"/>
      <x:c r="E27" s="73"/>
      <x:c r="F27" s="73"/>
      <x:c r="G27" s="73"/>
      <x:c r="H27" s="74"/>
    </x:row>
    <x:row r="28" ht="22" customHeight="1">
      <x:c r="A28" s="72"/>
      <x:c r="B28" s="73"/>
      <x:c r="C28" s="73"/>
      <x:c r="D28" s="73"/>
      <x:c r="E28" s="73"/>
      <x:c r="F28" s="73"/>
      <x:c r="G28" s="73"/>
      <x:c r="H28" s="74"/>
    </x:row>
    <x:row r="29" ht="22" customHeight="1">
      <x:c r="A29" s="72"/>
      <x:c r="B29" s="73"/>
      <x:c r="C29" s="73"/>
      <x:c r="D29" s="73"/>
      <x:c r="E29" s="73"/>
      <x:c r="F29" s="73"/>
      <x:c r="G29" s="73"/>
      <x:c r="H29" s="74"/>
    </x:row>
    <x:row r="30" ht="22" customHeight="1">
      <x:c r="A30" s="75"/>
      <x:c r="B30" s="76"/>
      <x:c r="C30" s="76"/>
      <x:c r="D30" s="76"/>
      <x:c r="E30" s="76"/>
      <x:c r="F30" s="76"/>
      <x:c r="G30" s="76"/>
      <x:c r="H30" s="77"/>
    </x:row>
  </x:sheetData>
  <x:mergeCells>
    <x:mergeCell ref="A1:H2"/>
    <x:mergeCell ref="A4:H4"/>
    <x:mergeCell ref="A6:H30"/>
  </x:mergeCells>
  <x:pageMargins left="0.7" right="0.7" top="0.75" bottom="0.75" header="0.3" footer="0.3"/>
</x:worksheet>
</file>